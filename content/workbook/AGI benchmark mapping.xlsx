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ADME &amp; Legend" sheetId="1" r:id="rId1"/>
    <sheet name="Capability Matrix" sheetId="2" r:id="rId2"/>
    <sheet name="Capability Tracker" sheetId="3" r:id="rId3"/>
    <sheet name="Benchmark Registry" sheetId="4" r:id="rId4"/>
    <sheet name="(Ingestion Priority)" sheetId="5" r:id="rId5"/>
    <sheet name="Capability Matrix (extended)" sheetId="6" r:id="rId6"/>
    <sheet name="Evidence Entries" sheetId="7" r:id="rId7"/>
  </sheets>
  <definedNames>
    <definedName name="_xlnm._FilterDatabase" localSheetId="4" hidden="1">'(Ingestion Priority)'!$A$1:$I$18</definedName>
    <definedName name="_xlnm._FilterDatabase" localSheetId="3" hidden="1">'Benchmark Registry'!$A$1:$P$43</definedName>
    <definedName name="_xlnm._FilterDatabase" localSheetId="2" hidden="1">'Capability Tracker'!$A$1:$N$78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huggingface.co/spaces/gaia-benchmark/leaderboard" TargetMode="External"/><Relationship Id="rId2" Type="http://schemas.openxmlformats.org/officeDocument/2006/relationships/hyperlink" Target="https://arcprize.org/leader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4"/>
  <sheetViews>
    <sheetView workbookViewId="0" rightToLeft="0"/>
  </sheetViews>
  <sheetData>
    <row r="1">
      <c r="A1" t="str">
        <v>AGI Tracker Blueprint - capability map, benchmark registry and ingestion readiness</v>
      </c>
    </row>
    <row r="3">
      <c r="A3" t="str">
        <v>Status colour</v>
      </c>
      <c r="B3" t="str">
        <v>Meaning</v>
      </c>
      <c r="D3" t="str">
        <v>How to use this workbook</v>
      </c>
    </row>
    <row r="4">
      <c r="A4" t="str">
        <v>Green</v>
      </c>
      <c r="B4" t="str">
        <v>Usable now: maintained public leaderboard and/or structured API/source; suitable for v1 ingestion.</v>
      </c>
      <c r="D4" t="str">
        <v>Capability Matrix: Visual taxonomy and coverage overview</v>
      </c>
    </row>
    <row r="5">
      <c r="A5" t="str">
        <v>Yellow</v>
      </c>
      <c r="B5" t="str">
        <v>Partial: benchmark exists, but ingestion is manual/scrape-heavy, coverage is weak, or construct validity is only partial.</v>
      </c>
      <c r="D5" t="str">
        <v>Capability Tracker: Source mapping by capability</v>
      </c>
    </row>
    <row r="6">
      <c r="A6" t="str">
        <v>Red</v>
      </c>
      <c r="B6" t="str">
        <v>Gap: no realistic reliable public leaderboard found; internal evaluation likely required.</v>
      </c>
      <c r="D6" t="str">
        <v>Benchmark Registry: Overview of ingestable data sources</v>
      </c>
    </row>
    <row r="7">
      <c r="A7" t="str">
        <v>Gray</v>
      </c>
      <c r="B7" t="str">
        <v>Auxiliary / system-level metric; track separately from the core AGI score.</v>
      </c>
    </row>
    <row r="9">
      <c r="A9" t="str">
        <v>Coverage summary</v>
      </c>
      <c r="B9" t="str">
        <v>Formula</v>
      </c>
      <c r="C9" t="str">
        <v>Value</v>
      </c>
    </row>
    <row r="10">
      <c r="A10" t="str">
        <v>Total capabilities</v>
      </c>
      <c r="B10">
        <f>COUNTA('Capability Tracker'!A:A)-1</f>
        <v>77</v>
      </c>
      <c r="C10">
        <f>COUNTA('Capability Tracker'!A:A)-1</f>
        <v>77</v>
      </c>
    </row>
    <row r="11">
      <c r="A11" t="str">
        <v>Green capabilities</v>
      </c>
      <c r="B11">
        <f>COUNTIF('Capability Tracker'!F:F,"Green")</f>
        <v>29</v>
      </c>
      <c r="C11">
        <f>COUNTIF('Capability Tracker'!F:F,"Green")</f>
        <v>29</v>
      </c>
    </row>
    <row r="12">
      <c r="A12" t="str">
        <v>Yellow capabilities</v>
      </c>
      <c r="B12">
        <f>COUNTIF('Capability Tracker'!F:F,"Yellow")</f>
        <v>24</v>
      </c>
      <c r="C12">
        <f>COUNTIF('Capability Tracker'!F:F,"Yellow")</f>
        <v>24</v>
      </c>
    </row>
    <row r="13">
      <c r="A13" t="str">
        <v>Red capabilities</v>
      </c>
      <c r="B13">
        <f>COUNTIF('Capability Tracker'!F:F,"Red")</f>
        <v>24</v>
      </c>
      <c r="C13">
        <f>COUNTIF('Capability Tracker'!F:F,"Red")</f>
        <v>24</v>
      </c>
    </row>
    <row r="14">
      <c r="A14" t="str">
        <v>Core capabilities</v>
      </c>
      <c r="B14">
        <f>COUNTIF('Capability Tracker'!E:E,"Core")</f>
        <v>40</v>
      </c>
      <c r="C14">
        <f>COUNTIF('Capability Tracker'!E:E,"Core")</f>
        <v>40</v>
      </c>
    </row>
    <row r="15">
      <c r="A15" t="str">
        <v>Extended capabilities</v>
      </c>
      <c r="B15">
        <f>COUNTIF('Capability Tracker'!E:E,"Extended")</f>
        <v>37</v>
      </c>
      <c r="C15">
        <f>COUNTIF('Capability Tracker'!E:E,"Extended")</f>
        <v>37</v>
      </c>
    </row>
    <row r="17">
      <c r="A17" t="str">
        <v>Dimension</v>
      </c>
      <c r="B17" t="str">
        <v>Green</v>
      </c>
      <c r="C17" t="str">
        <v>Yellow</v>
      </c>
      <c r="D17" t="str">
        <v>Red</v>
      </c>
    </row>
    <row r="18">
      <c r="A18" t="str">
        <v>Cognitive Reasoning &amp; Task Execution</v>
      </c>
      <c r="B18">
        <f>COUNTIFS('Capability Tracker'!B:B,A18,'Capability Tracker'!F:F,"Green")</f>
        <v>11</v>
      </c>
      <c r="C18">
        <f>COUNTIFS('Capability Tracker'!B:B,A18,'Capability Tracker'!F:F,"Yellow")</f>
        <v>2</v>
      </c>
      <c r="D18">
        <f>COUNTIFS('Capability Tracker'!B:B,A18,'Capability Tracker'!F:F,"Red")</f>
        <v>0</v>
      </c>
    </row>
    <row r="19">
      <c r="A19" t="str">
        <v>Learning &amp; Generalization</v>
      </c>
      <c r="B19">
        <f>COUNTIFS('Capability Tracker'!B:B,A19,'Capability Tracker'!F:F,"Green")</f>
        <v>6</v>
      </c>
      <c r="C19">
        <f>COUNTIFS('Capability Tracker'!B:B,A19,'Capability Tracker'!F:F,"Yellow")</f>
        <v>3</v>
      </c>
      <c r="D19">
        <f>COUNTIFS('Capability Tracker'!B:B,A19,'Capability Tracker'!F:F,"Red")</f>
        <v>3</v>
      </c>
    </row>
    <row r="20">
      <c r="A20" t="str">
        <v>Epistemic Reliability &amp; Truthfulness</v>
      </c>
      <c r="B20">
        <f>COUNTIFS('Capability Tracker'!B:B,A20,'Capability Tracker'!F:F,"Green")</f>
        <v>3</v>
      </c>
      <c r="C20">
        <f>COUNTIFS('Capability Tracker'!B:B,A20,'Capability Tracker'!F:F,"Yellow")</f>
        <v>4</v>
      </c>
      <c r="D20">
        <f>COUNTIFS('Capability Tracker'!B:B,A20,'Capability Tracker'!F:F,"Red")</f>
        <v>4</v>
      </c>
    </row>
    <row r="21">
      <c r="A21" t="str">
        <v>Metacognition / Ethical Discernment</v>
      </c>
      <c r="B21">
        <f>COUNTIFS('Capability Tracker'!B:B,A21,'Capability Tracker'!F:F,"Green")</f>
        <v>0</v>
      </c>
      <c r="C21">
        <f>COUNTIFS('Capability Tracker'!B:B,A21,'Capability Tracker'!F:F,"Yellow")</f>
        <v>3</v>
      </c>
      <c r="D21">
        <f>COUNTIFS('Capability Tracker'!B:B,A21,'Capability Tracker'!F:F,"Red")</f>
        <v>7</v>
      </c>
    </row>
    <row r="22">
      <c r="A22" t="str">
        <v>Social Interaction Competence</v>
      </c>
      <c r="B22">
        <f>COUNTIFS('Capability Tracker'!B:B,A22,'Capability Tracker'!F:F,"Green")</f>
        <v>4</v>
      </c>
      <c r="C22">
        <f>COUNTIFS('Capability Tracker'!B:B,A22,'Capability Tracker'!F:F,"Yellow")</f>
        <v>1</v>
      </c>
      <c r="D22">
        <f>COUNTIFS('Capability Tracker'!B:B,A22,'Capability Tracker'!F:F,"Red")</f>
        <v>4</v>
      </c>
    </row>
    <row r="23">
      <c r="A23" t="str">
        <v>Multimodal Understanding</v>
      </c>
      <c r="B23">
        <f>COUNTIFS('Capability Tracker'!B:B,A23,'Capability Tracker'!F:F,"Green")</f>
        <v>2</v>
      </c>
      <c r="C23">
        <f>COUNTIFS('Capability Tracker'!B:B,A23,'Capability Tracker'!F:F,"Yellow")</f>
        <v>6</v>
      </c>
      <c r="D23">
        <f>COUNTIFS('Capability Tracker'!B:B,A23,'Capability Tracker'!F:F,"Red")</f>
        <v>2</v>
      </c>
    </row>
    <row r="24">
      <c r="A24" t="str">
        <v>Safety &amp; Controllability</v>
      </c>
      <c r="B24">
        <f>COUNTIFS('Capability Tracker'!B:B,A24,'Capability Tracker'!F:F,"Green")</f>
        <v>3</v>
      </c>
      <c r="C24">
        <f>COUNTIFS('Capability Tracker'!B:B,A24,'Capability Tracker'!F:F,"Yellow")</f>
        <v>5</v>
      </c>
      <c r="D24">
        <f>COUNTIFS('Capability Tracker'!B:B,A24,'Capability Tracker'!F:F,"Red")</f>
        <v>4</v>
      </c>
    </row>
  </sheetData>
  <mergeCells count="5">
    <mergeCell ref="D6:H6"/>
    <mergeCell ref="D4:H4"/>
    <mergeCell ref="A1:H1"/>
    <mergeCell ref="D5:H5"/>
    <mergeCell ref="D3:H3"/>
  </mergeCells>
  <pageMargins left="0.7" right="0.7" top="0.75" bottom="0.75" header="0.3" footer="0.3"/>
  <ignoredErrors>
    <ignoredError numberStoredAsText="1" sqref="A1:H2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22"/>
  <sheetViews>
    <sheetView workbookViewId="0" rightToLeft="0"/>
  </sheetViews>
  <sheetData>
    <row r="1">
      <c r="A1" t="str">
        <v>AGI tracker capability map - visual standard</v>
      </c>
    </row>
    <row r="2">
      <c r="A2" t="str">
        <v>Each coloured box is one capability. Fill colour shows the best current public benchmark coverage status. Text after the dash shows the recommended primary benchmark anchor.</v>
      </c>
    </row>
    <row r="3">
      <c r="A3" t="str">
        <v>Cognitive Reasoning &amp; Task Execution</v>
      </c>
      <c r="B3" t="str">
        <v>Learning &amp; Generalization</v>
      </c>
      <c r="C3" t="str">
        <v>Epistemic Reliability &amp; Truthfulness</v>
      </c>
      <c r="D3" t="str">
        <v>Metacognition / Ethical Discernment</v>
      </c>
      <c r="E3" t="str">
        <v>Social Interaction Competence</v>
      </c>
      <c r="F3" t="str">
        <v>Multimodal Understanding</v>
      </c>
      <c r="G3" t="str">
        <v>Safety &amp; Controllability</v>
      </c>
    </row>
    <row r="4" xml:space="preserve">
      <c r="A4" t="str" xml:space="preserve">
        <v xml:space="preserve">Problem understanding_x000d_
- GAIA</v>
      </c>
      <c r="B4" t="str" xml:space="preserve">
        <v xml:space="preserve">In-context learning / adaptation_x000d_
- Open LLM Leaderboard v2</v>
      </c>
      <c r="C4" t="str" xml:space="preserve">
        <v xml:space="preserve">Factual accuracy_x000d_
- AA-Omniscience</v>
      </c>
      <c r="D4" t="str" xml:space="preserve">
        <v xml:space="preserve">Uncertainty estimation / calibration_x000d_
- Gap / internal eval needed</v>
      </c>
      <c r="E4" t="str" xml:space="preserve">
        <v xml:space="preserve">User modeling_x000d_
- SocialIQA</v>
      </c>
      <c r="F4" t="str" xml:space="preserve">
        <v xml:space="preserve">Cross-modal grounding / coherence_x000d_
- MMBench</v>
      </c>
      <c r="G4" t="str" xml:space="preserve">
        <v xml:space="preserve">Steerability &amp; constraint adherence_x000d_
- IFBench</v>
      </c>
    </row>
    <row r="5" xml:space="preserve">
      <c r="A5" t="str" xml:space="preserve">
        <v xml:space="preserve">Task decomposition_x000d_
- GAIA</v>
      </c>
      <c r="B5" t="str" xml:space="preserve">
        <v xml:space="preserve">Few-shot generalization_x000d_
- Open LLM Leaderboard v2</v>
      </c>
      <c r="C5" t="str" xml:space="preserve">
        <v xml:space="preserve">Short-form factual recall_x000d_
- SimpleQA</v>
      </c>
      <c r="D5" t="str" xml:space="preserve">
        <v xml:space="preserve">Abstention_x000d_
- AbstentionBench</v>
      </c>
      <c r="E5" t="str" xml:space="preserve">
        <v xml:space="preserve">Perspective taking_x000d_
- FANToM</v>
      </c>
      <c r="F5" t="str" xml:space="preserve">
        <v xml:space="preserve">Multimodal reasoning_x000d_
- MMMU-Pro</v>
      </c>
      <c r="G5" t="str" xml:space="preserve">
        <v xml:space="preserve">Instruction following generalization_x000d_
- IFBench</v>
      </c>
    </row>
    <row r="6" xml:space="preserve">
      <c r="A6" t="str" xml:space="preserve">
        <v xml:space="preserve">Multi-step reasoning under constraints_x000d_
- Humanity's Last Exam</v>
      </c>
      <c r="B6" t="str" xml:space="preserve">
        <v xml:space="preserve">Transfer generalization (cross-domain/task/language)_x000d_
- MMLU-Pro</v>
      </c>
      <c r="C6" t="str" xml:space="preserve">
        <v xml:space="preserve">Citation / evidence correctness_x000d_
- ALCE</v>
      </c>
      <c r="D6" t="str" xml:space="preserve">
        <v xml:space="preserve">Self-evaluation_x000d_
- Gap / internal eval needed</v>
      </c>
      <c r="E6" t="str" xml:space="preserve">
        <v xml:space="preserve">Theory of mind_x000d_
- FANToM</v>
      </c>
      <c r="F6" t="str" xml:space="preserve">
        <v xml:space="preserve">Multimodal information extraction_x000d_
- MMBench</v>
      </c>
      <c r="G6" t="str" xml:space="preserve">
        <v xml:space="preserve">Harmfulness prevention_x000d_
- HarmBench</v>
      </c>
    </row>
    <row r="7" xml:space="preserve">
      <c r="A7" t="str" xml:space="preserve">
        <v xml:space="preserve">Quantitative reasoning_x000d_
- AIME 2025</v>
      </c>
      <c r="B7" t="str" xml:space="preserve">
        <v xml:space="preserve">OOD generalization_x000d_
- ARC-AGI-2 / ARC Prize</v>
      </c>
      <c r="C7" t="str" xml:space="preserve">
        <v xml:space="preserve">Source-grounded answering_x000d_
- CRAG / RAG-style factual QA</v>
      </c>
      <c r="D7" t="str" xml:space="preserve">
        <v xml:space="preserve">Error detection_x000d_
- Gap / internal eval needed</v>
      </c>
      <c r="E7" t="str" xml:space="preserve">
        <v xml:space="preserve">Interaction quality_x000d_
- τ²-Bench Telecom</v>
      </c>
      <c r="F7" t="str" xml:space="preserve">
        <v xml:space="preserve">Spatial reasoning_x000d_
- MMMU-Pro</v>
      </c>
      <c r="G7" t="str" xml:space="preserve">
        <v xml:space="preserve">Refusal quality_x000d_
- HarmBench</v>
      </c>
    </row>
    <row r="8" xml:space="preserve">
      <c r="A8" t="str" xml:space="preserve">
        <v xml:space="preserve">Scientific reasoning_x000d_
- GPQA Diamond</v>
      </c>
      <c r="B8" t="str" xml:space="preserve">
        <v xml:space="preserve">Novel problem solving_x000d_
- ARC-AGI-2 / ARC Prize</v>
      </c>
      <c r="C8" t="str" xml:space="preserve">
        <v xml:space="preserve">Hallucination resistance_x000d_
- AA-Omniscience</v>
      </c>
      <c r="D8" t="str" xml:space="preserve">
        <v xml:space="preserve">Self-correction_x000d_
- CorrectBench</v>
      </c>
      <c r="E8" t="str" xml:space="preserve">
        <v xml:space="preserve">Coordination competence_x000d_
- τ²-Bench Telecom</v>
      </c>
      <c r="F8" t="str" xml:space="preserve">
        <v xml:space="preserve">Chart / diagram reasoning_x000d_
- Visual Maths Benchmark</v>
      </c>
      <c r="G8" t="str" xml:space="preserve">
        <v xml:space="preserve">Jailbreak resistance_x000d_
- JailbreakBench</v>
      </c>
    </row>
    <row r="9" xml:space="preserve">
      <c r="A9" t="str" xml:space="preserve">
        <v xml:space="preserve">Planning quality &amp; adaptability_x000d_
- ARC-AGI-2 / ARC Prize</v>
      </c>
      <c r="B9" t="str" xml:space="preserve">
        <v xml:space="preserve">Compositional generalization_x000d_
- ARC-AGI-2 / ARC Prize</v>
      </c>
      <c r="C9" t="str" xml:space="preserve">
        <v xml:space="preserve">Knowledge consistency_x000d_
- Gap / internal eval needed</v>
      </c>
      <c r="D9" t="str" xml:space="preserve">
        <v xml:space="preserve">Reflection quality_x000d_
- Gap / internal eval needed</v>
      </c>
      <c r="E9" t="str" xml:space="preserve">
        <v xml:space="preserve">Emotion &amp; affect handling_x000d_
- EQ-Bench 3</v>
      </c>
      <c r="F9" t="str" xml:space="preserve">
        <v xml:space="preserve">OCR / document understanding_x000d_
- MMBench</v>
      </c>
      <c r="G9" t="str" xml:space="preserve">
        <v xml:space="preserve">Prompt injection robustness_x000d_
- Gray Swan Indirect Prompt Injection Arena</v>
      </c>
    </row>
    <row r="10" xml:space="preserve">
      <c r="A10" t="str" xml:space="preserve">
        <v xml:space="preserve">Execution control_x000d_
- GDPval-AA</v>
      </c>
      <c r="B10" t="str" xml:space="preserve">
        <v xml:space="preserve">Long-context utilization_x000d_
- Artificial Analysis Long Context Reasoning (AA-LCR)</v>
      </c>
      <c r="C10" t="str" xml:space="preserve">
        <v xml:space="preserve">Robustness against misinformation_x000d_
- Gap / internal eval needed</v>
      </c>
      <c r="D10" t="str" xml:space="preserve">
        <v xml:space="preserve">Monitoring own tool use_x000d_
- Gap / internal eval needed</v>
      </c>
      <c r="E10" t="str" xml:space="preserve">
        <v xml:space="preserve">Empathy / supportive communication_x000d_
- EQ-Bench 3</v>
      </c>
      <c r="F10" t="str" xml:space="preserve">
        <v xml:space="preserve">Visual quantitative reasoning_x000d_
- Visual Maths Benchmark</v>
      </c>
      <c r="G10" t="str" xml:space="preserve">
        <v xml:space="preserve">Privacy &amp; data handling_x000d_
- Gap / internal eval needed</v>
      </c>
    </row>
    <row r="11" xml:space="preserve">
      <c r="A11" t="str" xml:space="preserve">
        <v xml:space="preserve">Tool-use reliability_x000d_
- Berkeley Function Calling Leaderboard (BFCL) V4</v>
      </c>
      <c r="B11" t="str" xml:space="preserve">
        <v xml:space="preserve">Memory generalization_x000d_
- Artificial Analysis Long Context Reasoning (AA-LCR)</v>
      </c>
      <c r="C11" t="str" xml:space="preserve">
        <v xml:space="preserve">Factual honesty_x000d_
- TruthfulQA</v>
      </c>
      <c r="D11" t="str" xml:space="preserve">
        <v xml:space="preserve">Ethical conflict recognition_x000d_
- Gap / internal eval needed</v>
      </c>
      <c r="E11" t="str" xml:space="preserve">
        <v xml:space="preserve">De-escalation / conflict handling_x000d_
- EQ-Bench 3</v>
      </c>
      <c r="F11" t="str" xml:space="preserve">
        <v xml:space="preserve">Multimodal generation_x000d_
- Artificial Analysis Text-to-Image Leaderboard</v>
      </c>
      <c r="G11" t="str" xml:space="preserve">
        <v xml:space="preserve">Sensitive information protection_x000d_
- Gap / internal eval needed</v>
      </c>
    </row>
    <row r="12" xml:space="preserve">
      <c r="A12" t="str" xml:space="preserve">
        <v xml:space="preserve">Code task execution_x000d_
- LiveCodeBench</v>
      </c>
      <c r="B12" t="str" xml:space="preserve">
        <v xml:space="preserve">Robustness to distribution shift_x000d_
- Gap / internal eval needed</v>
      </c>
      <c r="C12" t="str" xml:space="preserve">
        <v xml:space="preserve">Temporal factuality_x000d_
- Gap / internal eval needed</v>
      </c>
      <c r="D12" t="str" xml:space="preserve">
        <v xml:space="preserve">Instruction hierarchy / rule priority reasoning_x000d_
- IFBench</v>
      </c>
      <c r="E12" t="str" xml:space="preserve">
        <v xml:space="preserve">Fairness / appropriateness_x000d_
- Gap / internal eval needed</v>
      </c>
      <c r="F12" t="str" xml:space="preserve">
        <v xml:space="preserve">Video understanding_x000d_
- Gap / internal eval needed</v>
      </c>
      <c r="G12" t="str" xml:space="preserve">
        <v xml:space="preserve">Misuse resistance_x000d_
- AgentHarm</v>
      </c>
    </row>
    <row r="13" xml:space="preserve">
      <c r="A13" t="str" xml:space="preserve">
        <v xml:space="preserve">Software engineering end-to-end_x000d_
- SWE-bench Verified</v>
      </c>
      <c r="B13" t="str" xml:space="preserve">
        <v xml:space="preserve">Multilingual generalization_x000d_
- Global-MMLU-Lite</v>
      </c>
      <c r="C13" t="str" xml:space="preserve">
        <v xml:space="preserve">Domain factuality_x000d_
- GPQA Diamond</v>
      </c>
      <c r="D13" t="str" xml:space="preserve">
        <v xml:space="preserve">Honesty about limits_x000d_
- AA-Omniscience</v>
      </c>
      <c r="F13" t="str" xml:space="preserve">
        <v xml:space="preserve">Audio understanding_x000d_
- Gap / internal eval needed</v>
      </c>
      <c r="G13" t="str" xml:space="preserve">
        <v xml:space="preserve">Tool safety / action gating_x000d_
- Gap / internal eval needed</v>
      </c>
    </row>
    <row r="14" xml:space="preserve">
      <c r="A14" t="str" xml:space="preserve">
        <v xml:space="preserve">Real-world task execution_x000d_
- GDPval-AA</v>
      </c>
      <c r="B14" t="str" xml:space="preserve">
        <v xml:space="preserve">Continual freshness / temporal adaptation_x000d_
- Gap / internal eval needed</v>
      </c>
      <c r="C14" t="str" xml:space="preserve">
        <v xml:space="preserve">Grounded summarization faithfulness_x000d_
- Vectara Hallucination Leaderboard (HHEM)</v>
      </c>
      <c r="G14" t="str" xml:space="preserve">
        <v xml:space="preserve">Policy consistency across turns_x000d_
- Gap / internal eval needed</v>
      </c>
    </row>
    <row r="15" xml:space="preserve">
      <c r="A15" t="str" xml:space="preserve">
        <v xml:space="preserve">Web browsing &amp; research_x000d_
- BrowseComp</v>
      </c>
      <c r="B15" t="str" xml:space="preserve">
        <v xml:space="preserve">Sample efficiency_x000d_
- Gap / internal eval needed</v>
      </c>
      <c r="G15" t="str" xml:space="preserve">
        <v xml:space="preserve">Transparency / openness (auxiliary)_x000d_
- Artificial Analysis Openness Index</v>
      </c>
    </row>
    <row r="16" xml:space="preserve">
      <c r="A16" t="str" xml:space="preserve">
        <v xml:space="preserve">Terminal workflow execution_x000d_
- Terminal-Bench Hard</v>
      </c>
    </row>
    <row r="19">
      <c r="A19" t="str">
        <v>Legend</v>
      </c>
      <c r="B19" t="str">
        <v>Green = ingestable now</v>
      </c>
      <c r="C19" t="str">
        <v>Yellow = partial/caveated</v>
      </c>
      <c r="D19" t="str">
        <v>Red = benchmark gap</v>
      </c>
    </row>
  </sheetData>
  <mergeCells count="2">
    <mergeCell ref="A2:G2"/>
    <mergeCell ref="A1:G1"/>
  </mergeCells>
  <pageMargins left="0.7" right="0.7" top="0.75" bottom="0.75" header="0.3" footer="0.3"/>
  <ignoredErrors>
    <ignoredError numberStoredAsText="1" sqref="A1:G2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S78"/>
  <sheetViews>
    <sheetView workbookViewId="0" rightToLeft="0"/>
  </sheetViews>
  <sheetData>
    <row r="1">
      <c r="A1" t="str">
        <v>Capability ID</v>
      </c>
      <c r="B1" t="str">
        <v>Dimension</v>
      </c>
      <c r="C1" t="str">
        <v>Capability</v>
      </c>
      <c r="D1" t="str">
        <v>Definition / what we want to track</v>
      </c>
      <c r="E1" t="str">
        <v>Priority</v>
      </c>
      <c r="F1" t="str">
        <v>Coverage status</v>
      </c>
      <c r="G1" t="str">
        <v>Recommended primary benchmark</v>
      </c>
      <c r="H1" t="str">
        <v>Recommended secondary benchmarks</v>
      </c>
      <c r="I1" t="str">
        <v>Primary benchmark source tier</v>
      </c>
      <c r="J1" t="str">
        <v>Primary benchmark source type</v>
      </c>
      <c r="K1" t="str">
        <v>Public leaderboard / source</v>
      </c>
      <c r="L1" t="str">
        <v>Ingest method</v>
      </c>
      <c r="M1" t="str">
        <v>Recommended for v1?</v>
      </c>
      <c r="N1" t="str">
        <v>Notes / caveats</v>
      </c>
      <c r="O1" t="str">
        <v>Assessment Status</v>
      </c>
      <c r="P1" t="str">
        <v>Assessment Confidence</v>
      </c>
      <c r="Q1" t="str">
        <v>Evaluation Modes</v>
      </c>
      <c r="R1" t="str">
        <v>Assessment Rationale</v>
      </c>
      <c r="S1" t="str">
        <v>Assessment Updated At</v>
      </c>
    </row>
    <row r="2">
      <c r="A2" t="str">
        <v>001</v>
      </c>
      <c r="B2" t="str">
        <v>Cognitive Reasoning &amp; Task Execution</v>
      </c>
      <c r="C2" t="str">
        <v>Problem understanding</v>
      </c>
      <c r="D2" t="str">
        <v>Parse goals, constraints and hidden assumptions</v>
      </c>
      <c r="E2" t="str">
        <v>Core</v>
      </c>
      <c r="F2" t="str">
        <v>Green</v>
      </c>
      <c r="G2" t="str">
        <v xml:space="preserve">GAIA </v>
      </c>
      <c r="H2" t="str">
        <v>GDPval-AA; Humanity's Last Exam</v>
      </c>
      <c r="I2" t="str">
        <v>B</v>
      </c>
      <c r="J2" t="str">
        <v>Scrape / HF space data</v>
      </c>
      <c r="K2" t="str">
        <v>Official GAIA Hugging Face leaderboard</v>
      </c>
      <c r="L2" t="str">
        <v>Scrape / HF space data</v>
      </c>
      <c r="M2" t="str">
        <v>Yes</v>
      </c>
      <c r="N2" t="str">
        <v>Closest public signal is broad tool-using task suites, not a pure isolated benchmark.</v>
      </c>
      <c r="O2" t="str">
        <v/>
      </c>
      <c r="P2" t="str">
        <v/>
      </c>
      <c r="Q2" t="str">
        <v/>
      </c>
      <c r="R2" t="str">
        <v/>
      </c>
      <c r="S2" t="str">
        <v/>
      </c>
    </row>
    <row r="3">
      <c r="A3" t="str">
        <v>003</v>
      </c>
      <c r="B3" t="str">
        <v>Cognitive Reasoning &amp; Task Execution</v>
      </c>
      <c r="C3" t="str">
        <v>Multi-step reasoning under constraints</v>
      </c>
      <c r="D3" t="str">
        <v>Sustain correct reasoning across many steps</v>
      </c>
      <c r="E3" t="str">
        <v>Core</v>
      </c>
      <c r="F3" t="str">
        <v>Green</v>
      </c>
      <c r="G3" t="str">
        <v>Humanity's Last Exam</v>
      </c>
      <c r="H3" t="str">
        <v>AIME 2025; GPQA Diamond</v>
      </c>
      <c r="I3" t="str">
        <v>A</v>
      </c>
      <c r="J3" t="str">
        <v>AA scrape / likely API field</v>
      </c>
      <c r="K3" t="str">
        <v>Artificial Analysis evaluation</v>
      </c>
      <c r="L3" t="str">
        <v>AA scrape / likely API field</v>
      </c>
      <c r="M3" t="str">
        <v>Yes</v>
      </c>
      <c r="N3" t="str">
        <v>Use both math/science and broad frontier reasoning.</v>
      </c>
      <c r="O3" t="str">
        <v/>
      </c>
      <c r="P3" t="str">
        <v/>
      </c>
      <c r="Q3" t="str">
        <v/>
      </c>
      <c r="R3" t="str">
        <v/>
      </c>
      <c r="S3" t="str">
        <v/>
      </c>
    </row>
    <row r="4">
      <c r="A4" t="str">
        <v>004</v>
      </c>
      <c r="B4" t="str">
        <v>Cognitive Reasoning &amp; Task Execution</v>
      </c>
      <c r="C4" t="str">
        <v>Quantitative reasoning</v>
      </c>
      <c r="D4" t="str">
        <v>Solve mathematical and numerical problems</v>
      </c>
      <c r="E4" t="str">
        <v>Core</v>
      </c>
      <c r="F4" t="str">
        <v>Green</v>
      </c>
      <c r="G4" t="str">
        <v>AIME 2025</v>
      </c>
      <c r="H4" t="str">
        <v>MATH-500; Humanity's Last Exam</v>
      </c>
      <c r="I4" t="str">
        <v>A</v>
      </c>
      <c r="J4" t="str">
        <v>AA API / scrape</v>
      </c>
      <c r="K4" t="str">
        <v>Artificial Analysis evaluation</v>
      </c>
      <c r="L4" t="str">
        <v>AA API / scrape</v>
      </c>
      <c r="M4" t="str">
        <v>Yes</v>
      </c>
      <c r="N4" t="str">
        <v>Cleanest reasoning signal with objective scoring.</v>
      </c>
      <c r="O4" t="str">
        <v/>
      </c>
      <c r="P4" t="str">
        <v/>
      </c>
      <c r="Q4" t="str">
        <v/>
      </c>
      <c r="R4" t="str">
        <v/>
      </c>
      <c r="S4" t="str">
        <v/>
      </c>
    </row>
    <row r="5">
      <c r="A5" t="str">
        <v>005</v>
      </c>
      <c r="B5" t="str">
        <v>Cognitive Reasoning &amp; Task Execution</v>
      </c>
      <c r="C5" t="str">
        <v>Scientific reasoning</v>
      </c>
      <c r="D5" t="str">
        <v>Reason correctly in expert science domains</v>
      </c>
      <c r="E5" t="str">
        <v>Core</v>
      </c>
      <c r="F5" t="str">
        <v>Green</v>
      </c>
      <c r="G5" t="str">
        <v>GPQA Diamond</v>
      </c>
      <c r="H5" t="str">
        <v>CritPt</v>
      </c>
      <c r="I5" t="str">
        <v>A</v>
      </c>
      <c r="J5" t="str">
        <v>AA API / scrape</v>
      </c>
      <c r="K5" t="str">
        <v>Artificial Analysis evaluation</v>
      </c>
      <c r="L5" t="str">
        <v>AA API / scrape</v>
      </c>
      <c r="M5" t="str">
        <v>Yes</v>
      </c>
      <c r="N5" t="str">
        <v>Good complement to general reasoning and coding.</v>
      </c>
      <c r="O5" t="str">
        <v/>
      </c>
      <c r="P5" t="str">
        <v/>
      </c>
      <c r="Q5" t="str">
        <v/>
      </c>
      <c r="R5" t="str">
        <v/>
      </c>
      <c r="S5" t="str">
        <v/>
      </c>
    </row>
    <row r="6">
      <c r="A6" t="str">
        <v>006</v>
      </c>
      <c r="B6" t="str">
        <v>Cognitive Reasoning &amp; Task Execution</v>
      </c>
      <c r="C6" t="str">
        <v>Planning quality &amp; adaptability</v>
      </c>
      <c r="D6" t="str">
        <v>Form plans and revise under changing conditions</v>
      </c>
      <c r="E6" t="str">
        <v>Core</v>
      </c>
      <c r="F6" t="str">
        <v>Green</v>
      </c>
      <c r="G6" t="str">
        <v>ARC-AGI-2 / ARC Prize</v>
      </c>
      <c r="H6" t="str">
        <v>GAIA; Terminal-Bench Hard</v>
      </c>
      <c r="I6" t="str">
        <v>B</v>
      </c>
      <c r="J6" t="str">
        <v>Scrape</v>
      </c>
      <c r="K6" t="str">
        <v>Official ARC Prize leaderboard</v>
      </c>
      <c r="L6" t="str">
        <v>Scrape</v>
      </c>
      <c r="M6" t="str">
        <v>Yes</v>
      </c>
      <c r="N6" t="str">
        <v>Mix abstract adaptability with real task execution.</v>
      </c>
      <c r="O6" t="str">
        <v/>
      </c>
      <c r="P6" t="str">
        <v/>
      </c>
      <c r="Q6" t="str">
        <v/>
      </c>
      <c r="R6" t="str">
        <v/>
      </c>
      <c r="S6" t="str">
        <v/>
      </c>
    </row>
    <row r="7">
      <c r="A7" t="str">
        <v>007</v>
      </c>
      <c r="B7" t="str">
        <v>Cognitive Reasoning &amp; Task Execution</v>
      </c>
      <c r="C7" t="str">
        <v>Execution control</v>
      </c>
      <c r="D7" t="str">
        <v>Carry out ordered steps reliably</v>
      </c>
      <c r="E7" t="str">
        <v>Core</v>
      </c>
      <c r="F7" t="str">
        <v>Green</v>
      </c>
      <c r="G7" t="str">
        <v>GDPval-AA</v>
      </c>
      <c r="H7" t="str">
        <v>Terminal-Bench Hard; GAIA</v>
      </c>
      <c r="I7" t="str">
        <v>A</v>
      </c>
      <c r="J7" t="str">
        <v>AA scrape</v>
      </c>
      <c r="K7" t="str">
        <v>Artificial Analysis evaluation</v>
      </c>
      <c r="L7" t="str">
        <v>AA scrape</v>
      </c>
      <c r="M7" t="str">
        <v>Yes</v>
      </c>
      <c r="N7" t="str">
        <v>Agent environment benchmarks are best current proxy.</v>
      </c>
      <c r="O7" t="str">
        <v/>
      </c>
      <c r="P7" t="str">
        <v/>
      </c>
      <c r="Q7" t="str">
        <v/>
      </c>
      <c r="R7" t="str">
        <v/>
      </c>
      <c r="S7" t="str">
        <v/>
      </c>
    </row>
    <row r="8">
      <c r="A8" t="str">
        <v>008</v>
      </c>
      <c r="B8" t="str">
        <v>Cognitive Reasoning &amp; Task Execution</v>
      </c>
      <c r="C8" t="str">
        <v>Tool-use reliability</v>
      </c>
      <c r="D8" t="str">
        <v>Choose and call tools correctly</v>
      </c>
      <c r="E8" t="str">
        <v>Core</v>
      </c>
      <c r="F8" t="str">
        <v>Green</v>
      </c>
      <c r="G8" t="str">
        <v>Berkeley Function Calling Leaderboard (BFCL) V4</v>
      </c>
      <c r="H8" t="str">
        <v>τ²-Bench Telecom</v>
      </c>
      <c r="I8" t="str">
        <v>B</v>
      </c>
      <c r="J8" t="str">
        <v>Scrape</v>
      </c>
      <c r="K8" t="str">
        <v>Official BFCL leaderboard</v>
      </c>
      <c r="L8" t="str">
        <v>Scrape</v>
      </c>
      <c r="M8" t="str">
        <v>Yes</v>
      </c>
      <c r="N8" t="str">
        <v>Keep separate from broader agent success.</v>
      </c>
      <c r="O8" t="str">
        <v/>
      </c>
      <c r="P8" t="str">
        <v/>
      </c>
      <c r="Q8" t="str">
        <v/>
      </c>
      <c r="R8" t="str">
        <v/>
      </c>
      <c r="S8" t="str">
        <v/>
      </c>
    </row>
    <row r="9">
      <c r="A9" t="str">
        <v>009</v>
      </c>
      <c r="B9" t="str">
        <v>Cognitive Reasoning &amp; Task Execution</v>
      </c>
      <c r="C9" t="str">
        <v>Code task execution</v>
      </c>
      <c r="D9" t="str">
        <v>Generate and execute correct code</v>
      </c>
      <c r="E9" t="str">
        <v>Core</v>
      </c>
      <c r="F9" t="str">
        <v>Green</v>
      </c>
      <c r="G9" t="str">
        <v>LiveCodeBench</v>
      </c>
      <c r="H9" t="str">
        <v>SciCode; SWE-bench Verified</v>
      </c>
      <c r="I9" t="str">
        <v>A</v>
      </c>
      <c r="J9" t="str">
        <v>AA API / scrape</v>
      </c>
      <c r="K9" t="str">
        <v>Artificial Analysis evaluation + official leaderboard</v>
      </c>
      <c r="L9" t="str">
        <v>AA API / scrape</v>
      </c>
      <c r="M9" t="str">
        <v>Yes</v>
      </c>
      <c r="N9" t="str">
        <v>Should combine fresh coding and repo-level engineering.</v>
      </c>
      <c r="O9" t="str">
        <v/>
      </c>
      <c r="P9" t="str">
        <v/>
      </c>
      <c r="Q9" t="str">
        <v/>
      </c>
      <c r="R9" t="str">
        <v/>
      </c>
      <c r="S9" t="str">
        <v/>
      </c>
    </row>
    <row r="10">
      <c r="A10" t="str">
        <v>011</v>
      </c>
      <c r="B10" t="str">
        <v>Cognitive Reasoning &amp; Task Execution</v>
      </c>
      <c r="C10" t="str">
        <v>Real-world task execution</v>
      </c>
      <c r="D10" t="str">
        <v>Complete economically valuable workflows</v>
      </c>
      <c r="E10" t="str">
        <v>Core</v>
      </c>
      <c r="F10" t="str">
        <v>Green</v>
      </c>
      <c r="G10" t="str">
        <v>GDPval-AA</v>
      </c>
      <c r="H10" t="str">
        <v>GAIA; τ²-Bench Telecom</v>
      </c>
      <c r="I10" t="str">
        <v>A</v>
      </c>
      <c r="J10" t="str">
        <v>AA scrape</v>
      </c>
      <c r="K10" t="str">
        <v>Artificial Analysis evaluation</v>
      </c>
      <c r="L10" t="str">
        <v>AA scrape</v>
      </c>
      <c r="M10" t="str">
        <v>Yes</v>
      </c>
      <c r="N10" t="str">
        <v>Anchor metric for 'real work' claims.</v>
      </c>
      <c r="O10" t="str">
        <v/>
      </c>
      <c r="P10" t="str">
        <v/>
      </c>
      <c r="Q10" t="str">
        <v/>
      </c>
      <c r="R10" t="str">
        <v/>
      </c>
      <c r="S10" t="str">
        <v/>
      </c>
    </row>
    <row r="11">
      <c r="A11" t="str">
        <v>014</v>
      </c>
      <c r="B11" t="str">
        <v>Learning &amp; Generalization</v>
      </c>
      <c r="C11" t="str">
        <v>In-context learning / adaptation</v>
      </c>
      <c r="D11" t="str">
        <v>Learn from examples inside the prompt</v>
      </c>
      <c r="E11" t="str">
        <v>Core</v>
      </c>
      <c r="F11" t="str">
        <v>Yellow</v>
      </c>
      <c r="G11" t="str">
        <v>Open LLM Leaderboard v2</v>
      </c>
      <c r="H11" t="str">
        <v>MMLU-Pro</v>
      </c>
      <c r="I11" t="str">
        <v>B</v>
      </c>
      <c r="J11" t="str">
        <v>HF dataset / scrape</v>
      </c>
      <c r="K11" t="str">
        <v>Official Hugging Face leaderboard</v>
      </c>
      <c r="L11" t="str">
        <v>HF dataset / scrape</v>
      </c>
      <c r="M11" t="str">
        <v>Maybe</v>
      </c>
      <c r="N11" t="str">
        <v>Public sources exist, but not a clean dedicated leaderboard.</v>
      </c>
      <c r="O11" t="str">
        <v/>
      </c>
      <c r="P11" t="str">
        <v/>
      </c>
      <c r="Q11" t="str">
        <v/>
      </c>
      <c r="R11" t="str">
        <v/>
      </c>
      <c r="S11" t="str">
        <v/>
      </c>
    </row>
    <row r="12">
      <c r="A12" t="str">
        <v>016</v>
      </c>
      <c r="B12" t="str">
        <v>Learning &amp; Generalization</v>
      </c>
      <c r="C12" t="str">
        <v>Transfer generalization (cross-domain/task/language)</v>
      </c>
      <c r="D12" t="str">
        <v>Apply knowledge across domains and languages</v>
      </c>
      <c r="E12" t="str">
        <v>Core</v>
      </c>
      <c r="F12" t="str">
        <v>Green</v>
      </c>
      <c r="G12" t="str">
        <v>MMLU-Pro</v>
      </c>
      <c r="H12" t="str">
        <v>Global-MMLU-Lite; Humanity's Last Exam</v>
      </c>
      <c r="I12" t="str">
        <v>A</v>
      </c>
      <c r="J12" t="str">
        <v>AA API / scrape</v>
      </c>
      <c r="K12" t="str">
        <v>Artificial Analysis evaluation</v>
      </c>
      <c r="L12" t="str">
        <v>AA API / scrape</v>
      </c>
      <c r="M12" t="str">
        <v>Yes</v>
      </c>
      <c r="N12" t="str">
        <v>Use broad-domain and multilingual coverage together.</v>
      </c>
      <c r="O12" t="str">
        <v/>
      </c>
      <c r="P12" t="str">
        <v/>
      </c>
      <c r="Q12" t="str">
        <v/>
      </c>
      <c r="R12" t="str">
        <v/>
      </c>
      <c r="S12" t="str">
        <v/>
      </c>
    </row>
    <row r="13">
      <c r="A13" t="str">
        <v>017</v>
      </c>
      <c r="B13" t="str">
        <v>Learning &amp; Generalization</v>
      </c>
      <c r="C13" t="str">
        <v>OOD generalization</v>
      </c>
      <c r="D13" t="str">
        <v>Handle novel problems outside familiar distribution</v>
      </c>
      <c r="E13" t="str">
        <v>Core</v>
      </c>
      <c r="F13" t="str">
        <v>Green</v>
      </c>
      <c r="G13" t="str">
        <v>ARC-AGI-2 / ARC Prize</v>
      </c>
      <c r="H13" t="str">
        <v>IFBench</v>
      </c>
      <c r="I13" t="str">
        <v>B</v>
      </c>
      <c r="J13" t="str">
        <v>Scrape</v>
      </c>
      <c r="K13" t="str">
        <v>Official ARC Prize leaderboard</v>
      </c>
      <c r="L13" t="str">
        <v>Scrape</v>
      </c>
      <c r="M13" t="str">
        <v>Yes</v>
      </c>
      <c r="N13" t="str">
        <v>ARC-AGI-2 is strongest current public anchor.</v>
      </c>
      <c r="O13" t="str">
        <v/>
      </c>
      <c r="P13" t="str">
        <v/>
      </c>
      <c r="Q13" t="str">
        <v/>
      </c>
      <c r="R13" t="str">
        <v/>
      </c>
      <c r="S13" t="str">
        <v/>
      </c>
    </row>
    <row r="14">
      <c r="A14" t="str">
        <v>018</v>
      </c>
      <c r="B14" t="str">
        <v>Learning &amp; Generalization</v>
      </c>
      <c r="C14" t="str">
        <v>Novel problem solving</v>
      </c>
      <c r="D14" t="str">
        <v>Solve tasks not seen in training-like form</v>
      </c>
      <c r="E14" t="str">
        <v>Core</v>
      </c>
      <c r="F14" t="str">
        <v>Green</v>
      </c>
      <c r="G14" t="str">
        <v>ARC-AGI-2 / ARC Prize</v>
      </c>
      <c r="H14" t="str">
        <v>Humanity's Last Exam</v>
      </c>
      <c r="I14" t="str">
        <v>B</v>
      </c>
      <c r="J14" t="str">
        <v>Scrape</v>
      </c>
      <c r="K14" t="str">
        <v>Official ARC Prize leaderboard</v>
      </c>
      <c r="L14" t="str">
        <v>Scrape</v>
      </c>
      <c r="M14" t="str">
        <v>Yes</v>
      </c>
      <c r="N14" t="str">
        <v>Separate from memorized benchmark recall.</v>
      </c>
      <c r="O14" t="str">
        <v/>
      </c>
      <c r="P14" t="str">
        <v/>
      </c>
      <c r="Q14" t="str">
        <v/>
      </c>
      <c r="R14" t="str">
        <v/>
      </c>
      <c r="S14" t="str">
        <v/>
      </c>
    </row>
    <row r="15">
      <c r="A15" t="str">
        <v>020</v>
      </c>
      <c r="B15" t="str">
        <v>Learning &amp; Generalization</v>
      </c>
      <c r="C15" t="str">
        <v>Long-context utilization</v>
      </c>
      <c r="D15" t="str">
        <v>Use very long documents effectively</v>
      </c>
      <c r="E15" t="str">
        <v>Core</v>
      </c>
      <c r="F15" t="str">
        <v>Green</v>
      </c>
      <c r="G15" t="str">
        <v>Artificial Analysis Long Context Reasoning (AA-LCR)</v>
      </c>
      <c r="H15" t="str">
        <v>Terminal-Bench Hard</v>
      </c>
      <c r="I15" t="str">
        <v>A</v>
      </c>
      <c r="J15" t="str">
        <v>AA scrape</v>
      </c>
      <c r="K15" t="str">
        <v>Artificial Analysis evaluation</v>
      </c>
      <c r="L15" t="str">
        <v>AA scrape</v>
      </c>
      <c r="M15" t="str">
        <v>Yes</v>
      </c>
      <c r="N15" t="str">
        <v>AA-LCR is a direct current benchmark.</v>
      </c>
      <c r="O15" t="str">
        <v/>
      </c>
      <c r="P15" t="str">
        <v/>
      </c>
      <c r="Q15" t="str">
        <v/>
      </c>
      <c r="R15" t="str">
        <v/>
      </c>
      <c r="S15" t="str">
        <v/>
      </c>
    </row>
    <row r="16">
      <c r="A16" t="str">
        <v>021</v>
      </c>
      <c r="B16" t="str">
        <v>Learning &amp; Generalization</v>
      </c>
      <c r="C16" t="str">
        <v>Memory generalization</v>
      </c>
      <c r="D16" t="str">
        <v>Maintain and use distant context reliably</v>
      </c>
      <c r="E16" t="str">
        <v>Core</v>
      </c>
      <c r="F16" t="str">
        <v>Green</v>
      </c>
      <c r="G16" t="str">
        <v>Artificial Analysis Long Context Reasoning (AA-LCR)</v>
      </c>
      <c r="H16" t="str">
        <v>GAIA</v>
      </c>
      <c r="I16" t="str">
        <v>A</v>
      </c>
      <c r="J16" t="str">
        <v>AA scrape</v>
      </c>
      <c r="K16" t="str">
        <v>Artificial Analysis evaluation</v>
      </c>
      <c r="L16" t="str">
        <v>AA scrape</v>
      </c>
      <c r="M16" t="str">
        <v>Yes</v>
      </c>
      <c r="N16" t="str">
        <v>Best current signal comes from long-context tasks.</v>
      </c>
      <c r="O16" t="str">
        <v/>
      </c>
      <c r="P16" t="str">
        <v/>
      </c>
      <c r="Q16" t="str">
        <v/>
      </c>
      <c r="R16" t="str">
        <v/>
      </c>
      <c r="S16" t="str">
        <v/>
      </c>
    </row>
    <row r="17">
      <c r="A17" t="str">
        <v>026</v>
      </c>
      <c r="B17" t="str">
        <v>Epistemic Reliability &amp; Truthfulness</v>
      </c>
      <c r="C17" t="str">
        <v>Factual accuracy</v>
      </c>
      <c r="D17" t="str">
        <v>State correct facts</v>
      </c>
      <c r="E17" t="str">
        <v>Core</v>
      </c>
      <c r="F17" t="str">
        <v>Green</v>
      </c>
      <c r="G17" t="str">
        <v>AA-Omniscience</v>
      </c>
      <c r="H17" t="str">
        <v>SimpleQA</v>
      </c>
      <c r="I17" t="str">
        <v>A</v>
      </c>
      <c r="J17" t="str">
        <v>AA scrape</v>
      </c>
      <c r="K17" t="str">
        <v>Artificial Analysis evaluation</v>
      </c>
      <c r="L17" t="str">
        <v>AA scrape</v>
      </c>
      <c r="M17" t="str">
        <v>Yes</v>
      </c>
      <c r="N17" t="str">
        <v>AA-Omniscience is the best current anchor in this workbook.</v>
      </c>
      <c r="O17" t="str">
        <v/>
      </c>
      <c r="P17" t="str">
        <v/>
      </c>
      <c r="Q17" t="str">
        <v/>
      </c>
      <c r="R17" t="str">
        <v/>
      </c>
      <c r="S17" t="str">
        <v/>
      </c>
    </row>
    <row r="18">
      <c r="A18" t="str">
        <v>028</v>
      </c>
      <c r="B18" t="str">
        <v>Epistemic Reliability &amp; Truthfulness</v>
      </c>
      <c r="C18" t="str">
        <v>Citation / evidence correctness</v>
      </c>
      <c r="D18" t="str">
        <v>Support claims with correct evidence</v>
      </c>
      <c r="E18" t="str">
        <v>Core</v>
      </c>
      <c r="F18" t="str">
        <v>Red</v>
      </c>
      <c r="G18" t="str">
        <v>ALCE</v>
      </c>
      <c r="H18" t="str">
        <v/>
      </c>
      <c r="I18" t="str">
        <v>D</v>
      </c>
      <c r="J18" t="str">
        <v>None / internal eval needed</v>
      </c>
      <c r="K18" t="str">
        <v>Paper / code rather than maintained public leaderboard</v>
      </c>
      <c r="L18" t="str">
        <v>None / internal eval needed</v>
      </c>
      <c r="M18" t="str">
        <v>No</v>
      </c>
      <c r="N18" t="str">
        <v>Strong construct, weak public leaderboard availability.</v>
      </c>
      <c r="O18" t="str">
        <v/>
      </c>
      <c r="P18" t="str">
        <v/>
      </c>
      <c r="Q18" t="str">
        <v/>
      </c>
      <c r="R18" t="str">
        <v/>
      </c>
      <c r="S18" t="str">
        <v/>
      </c>
    </row>
    <row r="19">
      <c r="A19" t="str">
        <v>029</v>
      </c>
      <c r="B19" t="str">
        <v>Epistemic Reliability &amp; Truthfulness</v>
      </c>
      <c r="C19" t="str">
        <v>Source-grounded answering</v>
      </c>
      <c r="D19" t="str">
        <v>Stay faithful to provided documents</v>
      </c>
      <c r="E19" t="str">
        <v>Core</v>
      </c>
      <c r="F19" t="str">
        <v>Yellow</v>
      </c>
      <c r="G19" t="str">
        <v>CRAG / RAG-style factual QA</v>
      </c>
      <c r="H19" t="str">
        <v>Vectara Hallucination Leaderboard (HHEM)</v>
      </c>
      <c r="I19" t="str">
        <v>C</v>
      </c>
      <c r="J19" t="str">
        <v>Manual / scrape</v>
      </c>
      <c r="K19" t="str">
        <v>Third-party benchmark pages</v>
      </c>
      <c r="L19" t="str">
        <v>Manual / scrape</v>
      </c>
      <c r="M19" t="str">
        <v>Maybe</v>
      </c>
      <c r="N19" t="str">
        <v>RAG-style leaderboards are not yet universal.</v>
      </c>
      <c r="O19" t="str">
        <v/>
      </c>
      <c r="P19" t="str">
        <v/>
      </c>
      <c r="Q19" t="str">
        <v/>
      </c>
      <c r="R19" t="str">
        <v/>
      </c>
      <c r="S19" t="str">
        <v/>
      </c>
    </row>
    <row r="20">
      <c r="A20" t="str">
        <v>030</v>
      </c>
      <c r="B20" t="str">
        <v>Epistemic Reliability &amp; Truthfulness</v>
      </c>
      <c r="C20" t="str">
        <v>Hallucination resistance</v>
      </c>
      <c r="D20" t="str">
        <v>Avoid fabricated unsupported content</v>
      </c>
      <c r="E20" t="str">
        <v>Core</v>
      </c>
      <c r="F20" t="str">
        <v>Green</v>
      </c>
      <c r="G20" t="str">
        <v>AA-Omniscience</v>
      </c>
      <c r="H20" t="str">
        <v>Vectara Hallucination Leaderboard (HHEM)</v>
      </c>
      <c r="I20" t="str">
        <v>A</v>
      </c>
      <c r="J20" t="str">
        <v>AA scrape</v>
      </c>
      <c r="K20" t="str">
        <v>Artificial Analysis evaluation</v>
      </c>
      <c r="L20" t="str">
        <v>AA scrape</v>
      </c>
      <c r="M20" t="str">
        <v>Yes</v>
      </c>
      <c r="N20" t="str">
        <v>Use both general QA and summarization hallucination views.</v>
      </c>
      <c r="O20" t="str">
        <v/>
      </c>
      <c r="P20" t="str">
        <v/>
      </c>
      <c r="Q20" t="str">
        <v/>
      </c>
      <c r="R20" t="str">
        <v/>
      </c>
      <c r="S20" t="str">
        <v/>
      </c>
    </row>
    <row r="21">
      <c r="A21" t="str">
        <v>031</v>
      </c>
      <c r="B21" t="str">
        <v>Epistemic Reliability &amp; Truthfulness</v>
      </c>
      <c r="C21" t="str">
        <v>Knowledge consistency</v>
      </c>
      <c r="D21" t="str">
        <v>Avoid contradictions across related answers</v>
      </c>
      <c r="E21" t="str">
        <v>Core</v>
      </c>
      <c r="F21" t="str">
        <v>Red</v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>None / internal eval</v>
      </c>
      <c r="M21" t="str">
        <v>No</v>
      </c>
      <c r="N21" t="str">
        <v>No maintained public leaderboard found.</v>
      </c>
      <c r="O21" t="str">
        <v/>
      </c>
      <c r="P21" t="str">
        <v/>
      </c>
      <c r="Q21" t="str">
        <v/>
      </c>
      <c r="R21" t="str">
        <v/>
      </c>
      <c r="S21" t="str">
        <v/>
      </c>
    </row>
    <row r="22">
      <c r="A22" t="str">
        <v>033</v>
      </c>
      <c r="B22" t="str">
        <v>Epistemic Reliability &amp; Truthfulness</v>
      </c>
      <c r="C22" t="str">
        <v>Factual honesty</v>
      </c>
      <c r="D22" t="str">
        <v>Avoid overclaiming certainty or knowledge</v>
      </c>
      <c r="E22" t="str">
        <v>Core</v>
      </c>
      <c r="F22" t="str">
        <v>Yellow</v>
      </c>
      <c r="G22" t="str">
        <v>TruthfulQA</v>
      </c>
      <c r="H22" t="str">
        <v>AA-Omniscience</v>
      </c>
      <c r="I22" t="str">
        <v>C</v>
      </c>
      <c r="J22" t="str">
        <v>Manual</v>
      </c>
      <c r="K22" t="str">
        <v>Benchmark/dataset pages, scattered leaderboards</v>
      </c>
      <c r="L22" t="str">
        <v>Manual</v>
      </c>
      <c r="M22" t="str">
        <v>Maybe</v>
      </c>
      <c r="N22" t="str">
        <v>TruthfulQA is useful but aging; combine with abstention metrics later.</v>
      </c>
      <c r="O22" t="str">
        <v/>
      </c>
      <c r="P22" t="str">
        <v/>
      </c>
      <c r="Q22" t="str">
        <v/>
      </c>
      <c r="R22" t="str">
        <v/>
      </c>
      <c r="S22" t="str">
        <v/>
      </c>
    </row>
    <row r="23">
      <c r="A23" t="str">
        <v>037</v>
      </c>
      <c r="B23" t="str">
        <v>Metacognition / Ethical Discernment</v>
      </c>
      <c r="C23" t="str">
        <v>Uncertainty estimation / calibration</v>
      </c>
      <c r="D23" t="str">
        <v>Confidence should match correctness</v>
      </c>
      <c r="E23" t="str">
        <v>Core</v>
      </c>
      <c r="F23" t="str">
        <v>Red</v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>None / internal eval</v>
      </c>
      <c r="M23" t="str">
        <v>No</v>
      </c>
      <c r="N23" t="str">
        <v>Very important, but no stable public cross-model leaderboard found.</v>
      </c>
      <c r="O23" t="str">
        <v/>
      </c>
      <c r="P23" t="str">
        <v/>
      </c>
      <c r="Q23" t="str">
        <v/>
      </c>
      <c r="R23" t="str">
        <v/>
      </c>
      <c r="S23" t="str">
        <v/>
      </c>
    </row>
    <row r="24">
      <c r="A24" t="str">
        <v>038</v>
      </c>
      <c r="B24" t="str">
        <v>Metacognition / Ethical Discernment</v>
      </c>
      <c r="C24" t="str">
        <v>Abstention</v>
      </c>
      <c r="D24" t="str">
        <v>Decline when evidence is insufficient</v>
      </c>
      <c r="E24" t="str">
        <v>Core</v>
      </c>
      <c r="F24" t="str">
        <v>Red</v>
      </c>
      <c r="G24" t="str">
        <v>AbstentionBench</v>
      </c>
      <c r="H24" t="str">
        <v>AA-Omniscience</v>
      </c>
      <c r="I24" t="str">
        <v>D</v>
      </c>
      <c r="J24" t="str">
        <v>None / internal eval needed</v>
      </c>
      <c r="K24" t="str">
        <v>Code / dataset only</v>
      </c>
      <c r="L24" t="str">
        <v>None / internal eval needed</v>
      </c>
      <c r="M24" t="str">
        <v>No</v>
      </c>
      <c r="N24" t="str">
        <v>Benchmark exists, leaderboard does not.</v>
      </c>
      <c r="O24" t="str">
        <v/>
      </c>
      <c r="P24" t="str">
        <v/>
      </c>
      <c r="Q24" t="str">
        <v/>
      </c>
      <c r="R24" t="str">
        <v/>
      </c>
      <c r="S24" t="str">
        <v/>
      </c>
    </row>
    <row r="25">
      <c r="A25" t="str">
        <v>039</v>
      </c>
      <c r="B25" t="str">
        <v>Metacognition / Ethical Discernment</v>
      </c>
      <c r="C25" t="str">
        <v>Self-evaluation</v>
      </c>
      <c r="D25" t="str">
        <v>Judge own output quality</v>
      </c>
      <c r="E25" t="str">
        <v>Core</v>
      </c>
      <c r="F25" t="str">
        <v>Red</v>
      </c>
      <c r="G25" t="str">
        <v/>
      </c>
      <c r="H25" t="str">
        <v/>
      </c>
      <c r="I25" t="str">
        <v/>
      </c>
      <c r="J25" t="str">
        <v/>
      </c>
      <c r="K25" t="str">
        <v/>
      </c>
      <c r="L25" t="str">
        <v>None / internal eval</v>
      </c>
      <c r="M25" t="str">
        <v>No</v>
      </c>
      <c r="N25" t="str">
        <v>No reliable public leaderboard found.</v>
      </c>
      <c r="O25" t="str">
        <v/>
      </c>
      <c r="P25" t="str">
        <v/>
      </c>
      <c r="Q25" t="str">
        <v/>
      </c>
      <c r="R25" t="str">
        <v/>
      </c>
      <c r="S25" t="str">
        <v/>
      </c>
    </row>
    <row r="26">
      <c r="A26" t="str">
        <v>041</v>
      </c>
      <c r="B26" t="str">
        <v>Metacognition / Ethical Discernment</v>
      </c>
      <c r="C26" t="str">
        <v>Self-correction</v>
      </c>
      <c r="D26" t="str">
        <v>Repair mistakes after feedback or checks</v>
      </c>
      <c r="E26" t="str">
        <v>Core</v>
      </c>
      <c r="F26" t="str">
        <v>Yellow</v>
      </c>
      <c r="G26" t="str">
        <v>CorrectBench</v>
      </c>
      <c r="H26" t="str">
        <v>LiveCodeBench</v>
      </c>
      <c r="I26" t="str">
        <v>C</v>
      </c>
      <c r="J26" t="str">
        <v>Manual / scrape if page exposes results</v>
      </c>
      <c r="K26" t="str">
        <v>Official benchmark page</v>
      </c>
      <c r="L26" t="str">
        <v>Manual / scrape if page exposes results</v>
      </c>
      <c r="M26" t="str">
        <v>Maybe</v>
      </c>
      <c r="N26" t="str">
        <v>Current public benchmark coverage is partial and heterogeneous.</v>
      </c>
      <c r="O26" t="str">
        <v/>
      </c>
      <c r="P26" t="str">
        <v/>
      </c>
      <c r="Q26" t="str">
        <v/>
      </c>
      <c r="R26" t="str">
        <v/>
      </c>
      <c r="S26" t="str">
        <v/>
      </c>
    </row>
    <row r="27">
      <c r="A27" t="str">
        <v>047</v>
      </c>
      <c r="B27" t="str">
        <v>Social Interaction Competence</v>
      </c>
      <c r="C27" t="str">
        <v>User modeling</v>
      </c>
      <c r="D27" t="str">
        <v>Infer the user's goals, intent and context</v>
      </c>
      <c r="E27" t="str">
        <v>Core</v>
      </c>
      <c r="F27" t="str">
        <v>Red</v>
      </c>
      <c r="G27" t="str">
        <v>SocialIQA</v>
      </c>
      <c r="H27" t="str">
        <v/>
      </c>
      <c r="I27" t="str">
        <v>D</v>
      </c>
      <c r="J27" t="str">
        <v>Internal eval recommended</v>
      </c>
      <c r="K27" t="str">
        <v>Dataset page more than live leaderboard</v>
      </c>
      <c r="L27" t="str">
        <v>Internal eval recommended</v>
      </c>
      <c r="M27" t="str">
        <v>No</v>
      </c>
      <c r="N27" t="str">
        <v>Good dataset, weak maintained leaderboard.</v>
      </c>
      <c r="O27" t="str">
        <v/>
      </c>
      <c r="P27" t="str">
        <v/>
      </c>
      <c r="Q27" t="str">
        <v/>
      </c>
      <c r="R27" t="str">
        <v/>
      </c>
      <c r="S27" t="str">
        <v/>
      </c>
    </row>
    <row r="28">
      <c r="A28" t="str">
        <v>048</v>
      </c>
      <c r="B28" t="str">
        <v>Social Interaction Competence</v>
      </c>
      <c r="C28" t="str">
        <v>Perspective taking</v>
      </c>
      <c r="D28" t="str">
        <v>Understand different viewpoints</v>
      </c>
      <c r="E28" t="str">
        <v>Core</v>
      </c>
      <c r="F28" t="str">
        <v>Red</v>
      </c>
      <c r="G28" t="str">
        <v>FANToM</v>
      </c>
      <c r="H28" t="str">
        <v/>
      </c>
      <c r="I28" t="str">
        <v>D</v>
      </c>
      <c r="J28" t="str">
        <v>Internal eval needed</v>
      </c>
      <c r="K28" t="str">
        <v>Paper / dataset</v>
      </c>
      <c r="L28" t="str">
        <v>Internal eval needed</v>
      </c>
      <c r="M28" t="str">
        <v>No</v>
      </c>
      <c r="N28" t="str">
        <v>No maintained public leaderboard found.</v>
      </c>
      <c r="O28" t="str">
        <v/>
      </c>
      <c r="P28" t="str">
        <v/>
      </c>
      <c r="Q28" t="str">
        <v/>
      </c>
      <c r="R28" t="str">
        <v/>
      </c>
      <c r="S28" t="str">
        <v/>
      </c>
    </row>
    <row r="29">
      <c r="A29" t="str">
        <v>050</v>
      </c>
      <c r="B29" t="str">
        <v>Social Interaction Competence</v>
      </c>
      <c r="C29" t="str">
        <v>Interaction quality</v>
      </c>
      <c r="D29" t="str">
        <v>Be cooperative, clear and useful in interaction</v>
      </c>
      <c r="E29" t="str">
        <v>Core</v>
      </c>
      <c r="F29" t="str">
        <v>Green</v>
      </c>
      <c r="G29" t="str">
        <v>τ²-Bench Telecom</v>
      </c>
      <c r="H29" t="str">
        <v>EQ-Bench 3</v>
      </c>
      <c r="I29" t="str">
        <v>A</v>
      </c>
      <c r="J29" t="str">
        <v>AA scrape</v>
      </c>
      <c r="K29" t="str">
        <v>Artificial Analysis evaluation</v>
      </c>
      <c r="L29" t="str">
        <v>AA scrape</v>
      </c>
      <c r="M29" t="str">
        <v>Yes</v>
      </c>
      <c r="N29" t="str">
        <v>TAU2 gives task coordination; EQ-Bench gives social response quality.</v>
      </c>
      <c r="O29" t="str">
        <v/>
      </c>
      <c r="P29" t="str">
        <v/>
      </c>
      <c r="Q29" t="str">
        <v/>
      </c>
      <c r="R29" t="str">
        <v/>
      </c>
      <c r="S29" t="str">
        <v/>
      </c>
    </row>
    <row r="30">
      <c r="A30" t="str">
        <v>052</v>
      </c>
      <c r="B30" t="str">
        <v>Social Interaction Competence</v>
      </c>
      <c r="C30" t="str">
        <v>Emotion &amp; affect handling</v>
      </c>
      <c r="D30" t="str">
        <v>Respond appropriately to emotion and stress</v>
      </c>
      <c r="E30" t="str">
        <v>Core</v>
      </c>
      <c r="F30" t="str">
        <v>Green</v>
      </c>
      <c r="G30" t="str">
        <v>EQ-Bench 3</v>
      </c>
      <c r="H30" t="str">
        <v/>
      </c>
      <c r="I30" t="str">
        <v>B</v>
      </c>
      <c r="J30" t="str">
        <v>Scrape</v>
      </c>
      <c r="K30" t="str">
        <v>Official EQ-Bench 3 leaderboard</v>
      </c>
      <c r="L30" t="str">
        <v>Scrape</v>
      </c>
      <c r="M30" t="str">
        <v>Yes</v>
      </c>
      <c r="N30" t="str">
        <v>Useful but likely judge-sensitive.</v>
      </c>
      <c r="O30" t="str">
        <v/>
      </c>
      <c r="P30" t="str">
        <v/>
      </c>
      <c r="Q30" t="str">
        <v/>
      </c>
      <c r="R30" t="str">
        <v/>
      </c>
      <c r="S30" t="str">
        <v/>
      </c>
    </row>
    <row r="31">
      <c r="A31" t="str">
        <v>056</v>
      </c>
      <c r="B31" t="str">
        <v>Multimodal Understanding</v>
      </c>
      <c r="C31" t="str">
        <v>Cross-modal grounding / coherence</v>
      </c>
      <c r="D31" t="str">
        <v>Align text with visual evidence</v>
      </c>
      <c r="E31" t="str">
        <v>Core</v>
      </c>
      <c r="F31" t="str">
        <v>Yellow</v>
      </c>
      <c r="G31" t="str">
        <v>MMBench</v>
      </c>
      <c r="H31" t="str">
        <v>MMMU-Pro</v>
      </c>
      <c r="I31" t="str">
        <v>B</v>
      </c>
      <c r="J31" t="str">
        <v>Scrape / HF data</v>
      </c>
      <c r="K31" t="str">
        <v>Official OpenCompass Hugging Face space</v>
      </c>
      <c r="L31" t="str">
        <v>Scrape / HF data</v>
      </c>
      <c r="M31" t="str">
        <v>Maybe</v>
      </c>
      <c r="N31" t="str">
        <v>MMBench is useful but the public leaderboard is operationally weaker.</v>
      </c>
      <c r="O31" t="str">
        <v/>
      </c>
      <c r="P31" t="str">
        <v/>
      </c>
      <c r="Q31" t="str">
        <v/>
      </c>
      <c r="R31" t="str">
        <v/>
      </c>
      <c r="S31" t="str">
        <v/>
      </c>
    </row>
    <row r="32">
      <c r="A32" t="str">
        <v>057</v>
      </c>
      <c r="B32" t="str">
        <v>Multimodal Understanding</v>
      </c>
      <c r="C32" t="str">
        <v>Multimodal reasoning</v>
      </c>
      <c r="D32" t="str">
        <v>Reason across text, image, diagrams and charts</v>
      </c>
      <c r="E32" t="str">
        <v>Core</v>
      </c>
      <c r="F32" t="str">
        <v>Green</v>
      </c>
      <c r="G32" t="str">
        <v>MMMU-Pro</v>
      </c>
      <c r="H32" t="str">
        <v>MMBench</v>
      </c>
      <c r="I32" t="str">
        <v>A</v>
      </c>
      <c r="J32" t="str">
        <v>AA scrape</v>
      </c>
      <c r="K32" t="str">
        <v>Artificial Analysis evaluation</v>
      </c>
      <c r="L32" t="str">
        <v>AA scrape</v>
      </c>
      <c r="M32" t="str">
        <v>Yes</v>
      </c>
      <c r="N32" t="str">
        <v>Best current multimodal reasoning anchor.</v>
      </c>
      <c r="O32" t="str">
        <v/>
      </c>
      <c r="P32" t="str">
        <v/>
      </c>
      <c r="Q32" t="str">
        <v/>
      </c>
      <c r="R32" t="str">
        <v/>
      </c>
      <c r="S32" t="str">
        <v/>
      </c>
    </row>
    <row r="33">
      <c r="A33" t="str">
        <v>058</v>
      </c>
      <c r="B33" t="str">
        <v>Multimodal Understanding</v>
      </c>
      <c r="C33" t="str">
        <v>Multimodal information extraction</v>
      </c>
      <c r="D33" t="str">
        <v>Read and extract information from images/docs/charts</v>
      </c>
      <c r="E33" t="str">
        <v>Core</v>
      </c>
      <c r="F33" t="str">
        <v>Yellow</v>
      </c>
      <c r="G33" t="str">
        <v>MMBench</v>
      </c>
      <c r="H33" t="str">
        <v>MMMU-Pro</v>
      </c>
      <c r="I33" t="str">
        <v>B</v>
      </c>
      <c r="J33" t="str">
        <v>Scrape / HF data</v>
      </c>
      <c r="K33" t="str">
        <v>Official OpenCompass Hugging Face space</v>
      </c>
      <c r="L33" t="str">
        <v>Scrape / HF data</v>
      </c>
      <c r="M33" t="str">
        <v>Maybe</v>
      </c>
      <c r="N33" t="str">
        <v>Good coverage exists, but tracker-grade leaderboard quality is mixed.</v>
      </c>
      <c r="O33" t="str">
        <v/>
      </c>
      <c r="P33" t="str">
        <v/>
      </c>
      <c r="Q33" t="str">
        <v/>
      </c>
      <c r="R33" t="str">
        <v/>
      </c>
      <c r="S33" t="str">
        <v/>
      </c>
    </row>
    <row r="34">
      <c r="A34" t="str">
        <v>059</v>
      </c>
      <c r="B34" t="str">
        <v>Multimodal Understanding</v>
      </c>
      <c r="C34" t="str">
        <v>Spatial reasoning</v>
      </c>
      <c r="D34" t="str">
        <v>Understand geometric and spatial relationships</v>
      </c>
      <c r="E34" t="str">
        <v>Core</v>
      </c>
      <c r="F34" t="str">
        <v>Yellow</v>
      </c>
      <c r="G34" t="str">
        <v>MMMU-Pro</v>
      </c>
      <c r="H34" t="str">
        <v>Visual Maths Benchmark</v>
      </c>
      <c r="I34" t="str">
        <v>A</v>
      </c>
      <c r="J34" t="str">
        <v>AA scrape</v>
      </c>
      <c r="K34" t="str">
        <v>Artificial Analysis evaluation</v>
      </c>
      <c r="L34" t="str">
        <v>AA scrape</v>
      </c>
      <c r="M34" t="str">
        <v>Maybe</v>
      </c>
      <c r="N34" t="str">
        <v>Current public benchmarks are partial proxies.</v>
      </c>
      <c r="O34" t="str">
        <v/>
      </c>
      <c r="P34" t="str">
        <v/>
      </c>
      <c r="Q34" t="str">
        <v/>
      </c>
      <c r="R34" t="str">
        <v/>
      </c>
      <c r="S34" t="str">
        <v/>
      </c>
    </row>
    <row r="35">
      <c r="A35" t="str">
        <v>066</v>
      </c>
      <c r="B35" t="str">
        <v>Safety &amp; Controllability</v>
      </c>
      <c r="C35" t="str">
        <v>Steerability &amp; constraint adherence</v>
      </c>
      <c r="D35" t="str">
        <v>Follow explicit instructions and output constraints</v>
      </c>
      <c r="E35" t="str">
        <v>Core</v>
      </c>
      <c r="F35" t="str">
        <v>Green</v>
      </c>
      <c r="G35" t="str">
        <v>IFBench</v>
      </c>
      <c r="H35" t="str">
        <v/>
      </c>
      <c r="I35" t="str">
        <v>A</v>
      </c>
      <c r="J35" t="str">
        <v>AA scrape</v>
      </c>
      <c r="K35" t="str">
        <v>Artificial Analysis evaluation</v>
      </c>
      <c r="L35" t="str">
        <v>AA scrape</v>
      </c>
      <c r="M35" t="str">
        <v>Yes</v>
      </c>
      <c r="N35" t="str">
        <v>Cleanest public signal in this group.</v>
      </c>
      <c r="O35" t="str">
        <v/>
      </c>
      <c r="P35" t="str">
        <v/>
      </c>
      <c r="Q35" t="str">
        <v/>
      </c>
      <c r="R35" t="str">
        <v/>
      </c>
      <c r="S35" t="str">
        <v/>
      </c>
    </row>
    <row r="36">
      <c r="A36" t="str">
        <v>068</v>
      </c>
      <c r="B36" t="str">
        <v>Safety &amp; Controllability</v>
      </c>
      <c r="C36" t="str">
        <v>Harmfulness prevention</v>
      </c>
      <c r="D36" t="str">
        <v>Avoid producing harmful content or actions</v>
      </c>
      <c r="E36" t="str">
        <v>Core</v>
      </c>
      <c r="F36" t="str">
        <v>Yellow</v>
      </c>
      <c r="G36" t="str">
        <v>HarmBench</v>
      </c>
      <c r="H36" t="str">
        <v>JailbreakBench</v>
      </c>
      <c r="I36" t="str">
        <v>C</v>
      </c>
      <c r="J36" t="str">
        <v>Manual / scrape</v>
      </c>
      <c r="K36" t="str">
        <v>Official results page / codebase</v>
      </c>
      <c r="L36" t="str">
        <v>Manual / scrape</v>
      </c>
      <c r="M36" t="str">
        <v>Maybe</v>
      </c>
      <c r="N36" t="str">
        <v>Benchmark exists, but leaderboard quality is not yet ideal.</v>
      </c>
      <c r="O36" t="str">
        <v/>
      </c>
      <c r="P36" t="str">
        <v/>
      </c>
      <c r="Q36" t="str">
        <v/>
      </c>
      <c r="R36" t="str">
        <v/>
      </c>
      <c r="S36" t="str">
        <v/>
      </c>
    </row>
    <row r="37">
      <c r="A37" t="str">
        <v>069</v>
      </c>
      <c r="B37" t="str">
        <v>Safety &amp; Controllability</v>
      </c>
      <c r="C37" t="str">
        <v>Refusal quality</v>
      </c>
      <c r="D37" t="str">
        <v>Refuse appropriately, specifically and non-evasively</v>
      </c>
      <c r="E37" t="str">
        <v>Core</v>
      </c>
      <c r="F37" t="str">
        <v>Yellow</v>
      </c>
      <c r="G37" t="str">
        <v>HarmBench</v>
      </c>
      <c r="H37" t="str">
        <v>JailbreakBench</v>
      </c>
      <c r="I37" t="str">
        <v>C</v>
      </c>
      <c r="J37" t="str">
        <v>Manual / scrape</v>
      </c>
      <c r="K37" t="str">
        <v>Official results page / codebase</v>
      </c>
      <c r="L37" t="str">
        <v>Manual / scrape</v>
      </c>
      <c r="M37" t="str">
        <v>Maybe</v>
      </c>
      <c r="N37" t="str">
        <v>Need better dedicated public benchmark.</v>
      </c>
      <c r="O37" t="str">
        <v/>
      </c>
      <c r="P37" t="str">
        <v/>
      </c>
      <c r="Q37" t="str">
        <v/>
      </c>
      <c r="R37" t="str">
        <v/>
      </c>
      <c r="S37" t="str">
        <v/>
      </c>
    </row>
    <row r="38">
      <c r="A38" t="str">
        <v>070</v>
      </c>
      <c r="B38" t="str">
        <v>Safety &amp; Controllability</v>
      </c>
      <c r="C38" t="str">
        <v>Jailbreak resistance</v>
      </c>
      <c r="D38" t="str">
        <v>Resist adversarial policy bypass prompts</v>
      </c>
      <c r="E38" t="str">
        <v>Core</v>
      </c>
      <c r="F38" t="str">
        <v>Yellow</v>
      </c>
      <c r="G38" t="str">
        <v>JailbreakBench</v>
      </c>
      <c r="H38" t="str">
        <v>HarmBench</v>
      </c>
      <c r="I38" t="str">
        <v>C</v>
      </c>
      <c r="J38" t="str">
        <v>Manual / scrape</v>
      </c>
      <c r="K38" t="str">
        <v>Official benchmark site</v>
      </c>
      <c r="L38" t="str">
        <v>Manual / scrape</v>
      </c>
      <c r="M38" t="str">
        <v>Maybe</v>
      </c>
      <c r="N38" t="str">
        <v>Important, but the public benchmark landscape remains fragmented.</v>
      </c>
      <c r="O38" t="str">
        <v/>
      </c>
      <c r="P38" t="str">
        <v/>
      </c>
      <c r="Q38" t="str">
        <v/>
      </c>
      <c r="R38" t="str">
        <v/>
      </c>
      <c r="S38" t="str">
        <v/>
      </c>
    </row>
    <row r="39">
      <c r="A39" t="str">
        <v>071</v>
      </c>
      <c r="B39" t="str">
        <v>Safety &amp; Controllability</v>
      </c>
      <c r="C39" t="str">
        <v>Prompt injection robustness</v>
      </c>
      <c r="D39" t="str">
        <v>Ignore malicious instructions in retrieved/tool content</v>
      </c>
      <c r="E39" t="str">
        <v>Core</v>
      </c>
      <c r="F39" t="str">
        <v>Yellow</v>
      </c>
      <c r="G39" t="str">
        <v>Gray Swan Indirect Prompt Injection Arena</v>
      </c>
      <c r="H39" t="str">
        <v>JailbreakBench</v>
      </c>
      <c r="I39" t="str">
        <v>C</v>
      </c>
      <c r="J39" t="str">
        <v>Scrape / manual</v>
      </c>
      <c r="K39" t="str">
        <v>Gray Swan Arena</v>
      </c>
      <c r="L39" t="str">
        <v>Scrape / manual</v>
      </c>
      <c r="M39" t="str">
        <v>Maybe</v>
      </c>
      <c r="N39" t="str">
        <v>Promising public source, but challenge-style and evolving.</v>
      </c>
      <c r="O39" t="str">
        <v/>
      </c>
      <c r="P39" t="str">
        <v/>
      </c>
      <c r="Q39" t="str">
        <v/>
      </c>
      <c r="R39" t="str">
        <v/>
      </c>
      <c r="S39" t="str">
        <v/>
      </c>
    </row>
    <row r="40">
      <c r="A40" t="str">
        <v>072</v>
      </c>
      <c r="B40" t="str">
        <v>Safety &amp; Controllability</v>
      </c>
      <c r="C40" t="str">
        <v>Privacy &amp; data handling</v>
      </c>
      <c r="D40" t="str">
        <v>Avoid leaking sensitive or memorized information</v>
      </c>
      <c r="E40" t="str">
        <v>Core</v>
      </c>
      <c r="F40" t="str">
        <v>Red</v>
      </c>
      <c r="G40" t="str">
        <v/>
      </c>
      <c r="H40" t="str">
        <v/>
      </c>
      <c r="I40" t="str">
        <v/>
      </c>
      <c r="J40" t="str">
        <v/>
      </c>
      <c r="K40" t="str">
        <v/>
      </c>
      <c r="L40" t="str">
        <v>None / internal eval</v>
      </c>
      <c r="M40" t="str">
        <v>No</v>
      </c>
      <c r="N40" t="str">
        <v>No robust public cross-model leaderboard identified.</v>
      </c>
      <c r="O40" t="str">
        <v/>
      </c>
      <c r="P40" t="str">
        <v/>
      </c>
      <c r="Q40" t="str">
        <v/>
      </c>
      <c r="R40" t="str">
        <v/>
      </c>
      <c r="S40" t="str">
        <v/>
      </c>
    </row>
    <row r="41">
      <c r="A41" t="str">
        <v>074</v>
      </c>
      <c r="B41" t="str">
        <v>Safety &amp; Controllability</v>
      </c>
      <c r="C41" t="str">
        <v>Misuse resistance</v>
      </c>
      <c r="D41" t="str">
        <v>Avoid enabling harmful downstream misuse</v>
      </c>
      <c r="E41" t="str">
        <v>Core</v>
      </c>
      <c r="F41" t="str">
        <v>Yellow</v>
      </c>
      <c r="G41" t="str">
        <v>AgentHarm</v>
      </c>
      <c r="H41" t="str">
        <v>HarmBench</v>
      </c>
      <c r="I41" t="str">
        <v>C</v>
      </c>
      <c r="J41" t="str">
        <v>Manual</v>
      </c>
      <c r="K41" t="str">
        <v>Benchmark registry pages / paper</v>
      </c>
      <c r="L41" t="str">
        <v>Manual</v>
      </c>
      <c r="M41" t="str">
        <v>Maybe</v>
      </c>
      <c r="N41" t="str">
        <v>Best current public proxy is still not tracker-grade.</v>
      </c>
      <c r="O41" t="str">
        <v/>
      </c>
      <c r="P41" t="str">
        <v/>
      </c>
      <c r="Q41" t="str">
        <v/>
      </c>
      <c r="R41" t="str">
        <v/>
      </c>
      <c r="S41" t="str">
        <v/>
      </c>
    </row>
    <row r="42">
      <c r="A42" t="str">
        <v>002</v>
      </c>
      <c r="B42" t="str">
        <v>Cognitive Reasoning &amp; Task Execution</v>
      </c>
      <c r="C42" t="str">
        <v>Task decomposition</v>
      </c>
      <c r="D42" t="str">
        <v>Break complex requests into sub-tasks</v>
      </c>
      <c r="E42" t="str">
        <v>Extended</v>
      </c>
      <c r="F42" t="str">
        <v>Yellow</v>
      </c>
      <c r="G42" t="str">
        <v>GAIA</v>
      </c>
      <c r="H42" t="str">
        <v>Terminal-Bench Hard; τ²-Bench Telecom</v>
      </c>
      <c r="I42" t="str">
        <v>B</v>
      </c>
      <c r="J42" t="str">
        <v>Scrape / HF space data</v>
      </c>
      <c r="K42" t="str">
        <v>Official GAIA Hugging Face leaderboard</v>
      </c>
      <c r="L42" t="str">
        <v>Scrape / HF space data</v>
      </c>
      <c r="M42" t="str">
        <v>Maybe</v>
      </c>
      <c r="N42" t="str">
        <v>Usually inferred from agent-task success rather than directly benchmarked.</v>
      </c>
      <c r="O42" t="str">
        <v/>
      </c>
      <c r="P42" t="str">
        <v/>
      </c>
      <c r="Q42" t="str">
        <v/>
      </c>
      <c r="R42" t="str">
        <v/>
      </c>
      <c r="S42" t="str">
        <v/>
      </c>
    </row>
    <row r="43">
      <c r="A43" t="str">
        <v>010</v>
      </c>
      <c r="B43" t="str">
        <v>Cognitive Reasoning &amp; Task Execution</v>
      </c>
      <c r="C43" t="str">
        <v>Software engineering end-to-end</v>
      </c>
      <c r="D43" t="str">
        <v>Resolve repository issues and ship fixes</v>
      </c>
      <c r="E43" t="str">
        <v>Extended</v>
      </c>
      <c r="F43" t="str">
        <v>Green</v>
      </c>
      <c r="G43" t="str">
        <v>SWE-bench Verified</v>
      </c>
      <c r="H43" t="str">
        <v>Terminal-Bench Hard</v>
      </c>
      <c r="I43" t="str">
        <v>B</v>
      </c>
      <c r="J43" t="str">
        <v>Scrape</v>
      </c>
      <c r="K43" t="str">
        <v>Official SWE-bench leaderboard</v>
      </c>
      <c r="L43" t="str">
        <v>Scrape</v>
      </c>
      <c r="M43" t="str">
        <v>Maybe</v>
      </c>
      <c r="N43" t="str">
        <v>Useful sub-slice of economically valuable work.</v>
      </c>
      <c r="O43" t="str">
        <v/>
      </c>
      <c r="P43" t="str">
        <v/>
      </c>
      <c r="Q43" t="str">
        <v/>
      </c>
      <c r="R43" t="str">
        <v/>
      </c>
      <c r="S43" t="str">
        <v/>
      </c>
    </row>
    <row r="44">
      <c r="A44" t="str">
        <v>012</v>
      </c>
      <c r="B44" t="str">
        <v>Cognitive Reasoning &amp; Task Execution</v>
      </c>
      <c r="C44" t="str">
        <v>Web browsing &amp; research</v>
      </c>
      <c r="D44" t="str">
        <v>Find information online and synthesize answers</v>
      </c>
      <c r="E44" t="str">
        <v>Extended</v>
      </c>
      <c r="F44" t="str">
        <v>Yellow</v>
      </c>
      <c r="G44" t="str">
        <v>BrowseComp</v>
      </c>
      <c r="H44" t="str">
        <v>WebArena-Verified; GAIA</v>
      </c>
      <c r="I44" t="str">
        <v>C</v>
      </c>
      <c r="J44" t="str">
        <v>Manual / scrape</v>
      </c>
      <c r="K44" t="str">
        <v>OpenAI benchmark + Kaggle / third-party pages</v>
      </c>
      <c r="L44" t="str">
        <v>Manual / scrape</v>
      </c>
      <c r="M44" t="str">
        <v>Maybe</v>
      </c>
      <c r="N44" t="str">
        <v>Good benchmark exists, but public leaderboard situation is weaker than core AA set.</v>
      </c>
      <c r="O44" t="str">
        <v/>
      </c>
      <c r="P44" t="str">
        <v/>
      </c>
      <c r="Q44" t="str">
        <v/>
      </c>
      <c r="R44" t="str">
        <v/>
      </c>
      <c r="S44" t="str">
        <v/>
      </c>
    </row>
    <row r="45">
      <c r="A45" t="str">
        <v>013</v>
      </c>
      <c r="B45" t="str">
        <v>Cognitive Reasoning &amp; Task Execution</v>
      </c>
      <c r="C45" t="str">
        <v>Terminal workflow execution</v>
      </c>
      <c r="D45" t="str">
        <v>Operate in realistic terminal environments</v>
      </c>
      <c r="E45" t="str">
        <v>Extended</v>
      </c>
      <c r="F45" t="str">
        <v>Green</v>
      </c>
      <c r="G45" t="str">
        <v>Terminal-Bench Hard</v>
      </c>
      <c r="H45" t="str">
        <v>SWE-bench Verified</v>
      </c>
      <c r="I45" t="str">
        <v>A</v>
      </c>
      <c r="J45" t="str">
        <v>AA scrape / site scrape</v>
      </c>
      <c r="K45" t="str">
        <v>Artificial Analysis evaluation / Terminal-Bench site</v>
      </c>
      <c r="L45" t="str">
        <v>AA scrape / site scrape</v>
      </c>
      <c r="M45" t="str">
        <v>Maybe</v>
      </c>
      <c r="N45" t="str">
        <v>Important for agentic coding/sysadmin tasks.</v>
      </c>
      <c r="O45" t="str">
        <v/>
      </c>
      <c r="P45" t="str">
        <v/>
      </c>
      <c r="Q45" t="str">
        <v/>
      </c>
      <c r="R45" t="str">
        <v/>
      </c>
      <c r="S45" t="str">
        <v/>
      </c>
    </row>
    <row r="46">
      <c r="A46" t="str">
        <v>015</v>
      </c>
      <c r="B46" t="str">
        <v>Learning &amp; Generalization</v>
      </c>
      <c r="C46" t="str">
        <v>Few-shot generalization</v>
      </c>
      <c r="D46" t="str">
        <v>Improve with few demonstrations</v>
      </c>
      <c r="E46" t="str">
        <v>Extended</v>
      </c>
      <c r="F46" t="str">
        <v>Yellow</v>
      </c>
      <c r="G46" t="str">
        <v>Open LLM Leaderboard v2</v>
      </c>
      <c r="H46" t="str">
        <v>Global-MMLU-Lite</v>
      </c>
      <c r="I46" t="str">
        <v>B</v>
      </c>
      <c r="J46" t="str">
        <v>HF dataset / scrape</v>
      </c>
      <c r="K46" t="str">
        <v>Official Hugging Face leaderboard</v>
      </c>
      <c r="L46" t="str">
        <v>HF dataset / scrape</v>
      </c>
      <c r="M46" t="str">
        <v>Maybe</v>
      </c>
      <c r="N46" t="str">
        <v>Usually buried inside composite benchmark suites.</v>
      </c>
      <c r="O46" t="str">
        <v/>
      </c>
      <c r="P46" t="str">
        <v/>
      </c>
      <c r="Q46" t="str">
        <v/>
      </c>
      <c r="R46" t="str">
        <v/>
      </c>
      <c r="S46" t="str">
        <v/>
      </c>
    </row>
    <row r="47">
      <c r="A47" t="str">
        <v>019</v>
      </c>
      <c r="B47" t="str">
        <v>Learning &amp; Generalization</v>
      </c>
      <c r="C47" t="str">
        <v>Compositional generalization</v>
      </c>
      <c r="D47" t="str">
        <v>Combine known skills in new ways</v>
      </c>
      <c r="E47" t="str">
        <v>Extended</v>
      </c>
      <c r="F47" t="str">
        <v>Yellow</v>
      </c>
      <c r="G47" t="str">
        <v>ARC-AGI-2 / ARC Prize</v>
      </c>
      <c r="H47" t="str">
        <v>GAIA</v>
      </c>
      <c r="I47" t="str">
        <v>B</v>
      </c>
      <c r="J47" t="str">
        <v>Scrape</v>
      </c>
      <c r="K47" t="str">
        <v>Official ARC Prize leaderboard</v>
      </c>
      <c r="L47" t="str">
        <v>Scrape</v>
      </c>
      <c r="M47" t="str">
        <v>Maybe</v>
      </c>
      <c r="N47" t="str">
        <v>Current benchmarks are indirect proxies.</v>
      </c>
      <c r="O47" t="str">
        <v/>
      </c>
      <c r="P47" t="str">
        <v/>
      </c>
      <c r="Q47" t="str">
        <v/>
      </c>
      <c r="R47" t="str">
        <v/>
      </c>
      <c r="S47" t="str">
        <v/>
      </c>
    </row>
    <row r="48">
      <c r="A48" t="str">
        <v>022</v>
      </c>
      <c r="B48" t="str">
        <v>Learning &amp; Generalization</v>
      </c>
      <c r="C48" t="str">
        <v>Robustness to distribution shift</v>
      </c>
      <c r="D48" t="str">
        <v>Remain competent under changed data/task conditions</v>
      </c>
      <c r="E48" t="str">
        <v>Extended</v>
      </c>
      <c r="F48" t="str">
        <v>Red</v>
      </c>
      <c r="G48" t="str">
        <v/>
      </c>
      <c r="H48" t="str">
        <v/>
      </c>
      <c r="I48" t="str">
        <v/>
      </c>
      <c r="J48" t="str">
        <v/>
      </c>
      <c r="K48" t="str">
        <v/>
      </c>
      <c r="L48" t="str">
        <v>None / internal eval</v>
      </c>
      <c r="M48" t="str">
        <v>No</v>
      </c>
      <c r="N48" t="str">
        <v>No strong public cross-model leaderboard identified.</v>
      </c>
      <c r="O48" t="str">
        <v/>
      </c>
      <c r="P48" t="str">
        <v/>
      </c>
      <c r="Q48" t="str">
        <v/>
      </c>
      <c r="R48" t="str">
        <v/>
      </c>
      <c r="S48" t="str">
        <v/>
      </c>
    </row>
    <row r="49">
      <c r="A49" t="str">
        <v>023</v>
      </c>
      <c r="B49" t="str">
        <v>Learning &amp; Generalization</v>
      </c>
      <c r="C49" t="str">
        <v>Multilingual generalization</v>
      </c>
      <c r="D49" t="str">
        <v>Generalize reasoning across languages</v>
      </c>
      <c r="E49" t="str">
        <v>Extended</v>
      </c>
      <c r="F49" t="str">
        <v>Green</v>
      </c>
      <c r="G49" t="str">
        <v>Global-MMLU-Lite</v>
      </c>
      <c r="H49" t="str">
        <v>MTEB Leaderboard</v>
      </c>
      <c r="I49" t="str">
        <v>A</v>
      </c>
      <c r="J49" t="str">
        <v>AA scrape</v>
      </c>
      <c r="K49" t="str">
        <v>Artificial Analysis evaluation</v>
      </c>
      <c r="L49" t="str">
        <v>AA scrape</v>
      </c>
      <c r="M49" t="str">
        <v>Maybe</v>
      </c>
      <c r="N49" t="str">
        <v>Useful future extension; can stay outside v1 AGI score.</v>
      </c>
      <c r="O49" t="str">
        <v/>
      </c>
      <c r="P49" t="str">
        <v/>
      </c>
      <c r="Q49" t="str">
        <v/>
      </c>
      <c r="R49" t="str">
        <v/>
      </c>
      <c r="S49" t="str">
        <v/>
      </c>
    </row>
    <row r="50">
      <c r="A50" t="str">
        <v>024</v>
      </c>
      <c r="B50" t="str">
        <v>Learning &amp; Generalization</v>
      </c>
      <c r="C50" t="str">
        <v>Continual freshness / temporal adaptation</v>
      </c>
      <c r="D50" t="str">
        <v>Handle updated world state without retraining assumptions</v>
      </c>
      <c r="E50" t="str">
        <v>Extended</v>
      </c>
      <c r="F50" t="str">
        <v>Red</v>
      </c>
      <c r="G50" t="str">
        <v/>
      </c>
      <c r="H50" t="str">
        <v/>
      </c>
      <c r="I50" t="str">
        <v/>
      </c>
      <c r="J50" t="str">
        <v/>
      </c>
      <c r="K50" t="str">
        <v/>
      </c>
      <c r="L50" t="str">
        <v>None / internal eval</v>
      </c>
      <c r="M50" t="str">
        <v>No</v>
      </c>
      <c r="N50" t="str">
        <v>Benchmarking is fragmented; likely needs internal evals.</v>
      </c>
      <c r="O50" t="str">
        <v/>
      </c>
      <c r="P50" t="str">
        <v/>
      </c>
      <c r="Q50" t="str">
        <v/>
      </c>
      <c r="R50" t="str">
        <v/>
      </c>
      <c r="S50" t="str">
        <v/>
      </c>
    </row>
    <row r="51">
      <c r="A51" t="str">
        <v>025</v>
      </c>
      <c r="B51" t="str">
        <v>Learning &amp; Generalization</v>
      </c>
      <c r="C51" t="str">
        <v>Sample efficiency</v>
      </c>
      <c r="D51" t="str">
        <v>Improve quickly with minimal extra examples</v>
      </c>
      <c r="E51" t="str">
        <v>Extended</v>
      </c>
      <c r="F51" t="str">
        <v>Red</v>
      </c>
      <c r="G51" t="str">
        <v/>
      </c>
      <c r="H51" t="str">
        <v/>
      </c>
      <c r="I51" t="str">
        <v/>
      </c>
      <c r="J51" t="str">
        <v/>
      </c>
      <c r="K51" t="str">
        <v/>
      </c>
      <c r="L51" t="str">
        <v>None / internal eval</v>
      </c>
      <c r="M51" t="str">
        <v>No</v>
      </c>
      <c r="N51" t="str">
        <v>Not cleanly benchmarked via public leaderboard today.</v>
      </c>
      <c r="O51" t="str">
        <v/>
      </c>
      <c r="P51" t="str">
        <v/>
      </c>
      <c r="Q51" t="str">
        <v/>
      </c>
      <c r="R51" t="str">
        <v/>
      </c>
      <c r="S51" t="str">
        <v/>
      </c>
    </row>
    <row r="52">
      <c r="A52" t="str">
        <v>027</v>
      </c>
      <c r="B52" t="str">
        <v>Epistemic Reliability &amp; Truthfulness</v>
      </c>
      <c r="C52" t="str">
        <v>Short-form factual recall</v>
      </c>
      <c r="D52" t="str">
        <v>Answer fact-seeking questions precisely</v>
      </c>
      <c r="E52" t="str">
        <v>Extended</v>
      </c>
      <c r="F52" t="str">
        <v>Yellow</v>
      </c>
      <c r="G52" t="str">
        <v>SimpleQA</v>
      </c>
      <c r="H52" t="str">
        <v>AA-Omniscience</v>
      </c>
      <c r="I52" t="str">
        <v>C</v>
      </c>
      <c r="J52" t="str">
        <v>Manual / scrape</v>
      </c>
      <c r="K52" t="str">
        <v>Kaggle / third-party benchmark pages</v>
      </c>
      <c r="L52" t="str">
        <v>Manual / scrape</v>
      </c>
      <c r="M52" t="str">
        <v>Maybe</v>
      </c>
      <c r="N52" t="str">
        <v>Useful but public leaderboard ecosystem is fragmented.</v>
      </c>
      <c r="O52" t="str">
        <v/>
      </c>
      <c r="P52" t="str">
        <v/>
      </c>
      <c r="Q52" t="str">
        <v/>
      </c>
      <c r="R52" t="str">
        <v/>
      </c>
      <c r="S52" t="str">
        <v/>
      </c>
    </row>
    <row r="53">
      <c r="A53" t="str">
        <v>032</v>
      </c>
      <c r="B53" t="str">
        <v>Epistemic Reliability &amp; Truthfulness</v>
      </c>
      <c r="C53" t="str">
        <v>Robustness against misinformation</v>
      </c>
      <c r="D53" t="str">
        <v>Resist false or adversarial factual cues</v>
      </c>
      <c r="E53" t="str">
        <v>Extended</v>
      </c>
      <c r="F53" t="str">
        <v>Red</v>
      </c>
      <c r="G53" t="str">
        <v/>
      </c>
      <c r="H53" t="str">
        <v/>
      </c>
      <c r="I53" t="str">
        <v/>
      </c>
      <c r="J53" t="str">
        <v/>
      </c>
      <c r="K53" t="str">
        <v/>
      </c>
      <c r="L53" t="str">
        <v>None / internal eval</v>
      </c>
      <c r="M53" t="str">
        <v>No</v>
      </c>
      <c r="N53" t="str">
        <v>Important but public measurement is weak.</v>
      </c>
      <c r="O53" t="str">
        <v/>
      </c>
      <c r="P53" t="str">
        <v/>
      </c>
      <c r="Q53" t="str">
        <v/>
      </c>
      <c r="R53" t="str">
        <v/>
      </c>
      <c r="S53" t="str">
        <v/>
      </c>
    </row>
    <row r="54">
      <c r="A54" t="str">
        <v>034</v>
      </c>
      <c r="B54" t="str">
        <v>Epistemic Reliability &amp; Truthfulness</v>
      </c>
      <c r="C54" t="str">
        <v>Temporal factuality</v>
      </c>
      <c r="D54" t="str">
        <v>Stay correct on recent or changing facts</v>
      </c>
      <c r="E54" t="str">
        <v>Extended</v>
      </c>
      <c r="F54" t="str">
        <v>Red</v>
      </c>
      <c r="G54" t="str">
        <v/>
      </c>
      <c r="H54" t="str">
        <v/>
      </c>
      <c r="I54" t="str">
        <v/>
      </c>
      <c r="J54" t="str">
        <v/>
      </c>
      <c r="K54" t="str">
        <v/>
      </c>
      <c r="L54" t="str">
        <v>None / internal eval</v>
      </c>
      <c r="M54" t="str">
        <v>No</v>
      </c>
      <c r="N54" t="str">
        <v>Needs dedicated freshness evals, not found as stable leaderboard.</v>
      </c>
      <c r="O54" t="str">
        <v/>
      </c>
      <c r="P54" t="str">
        <v/>
      </c>
      <c r="Q54" t="str">
        <v/>
      </c>
      <c r="R54" t="str">
        <v/>
      </c>
      <c r="S54" t="str">
        <v/>
      </c>
    </row>
    <row r="55">
      <c r="A55" t="str">
        <v>035</v>
      </c>
      <c r="B55" t="str">
        <v>Epistemic Reliability &amp; Truthfulness</v>
      </c>
      <c r="C55" t="str">
        <v>Domain factuality</v>
      </c>
      <c r="D55" t="str">
        <v>Stay reliable in specialized domains</v>
      </c>
      <c r="E55" t="str">
        <v>Extended</v>
      </c>
      <c r="F55" t="str">
        <v>Yellow</v>
      </c>
      <c r="G55" t="str">
        <v>GPQA Diamond</v>
      </c>
      <c r="H55" t="str">
        <v>CritPt; AA-Omniscience</v>
      </c>
      <c r="I55" t="str">
        <v>A</v>
      </c>
      <c r="J55" t="str">
        <v>AA API / scrape</v>
      </c>
      <c r="K55" t="str">
        <v>Artificial Analysis evaluation</v>
      </c>
      <c r="L55" t="str">
        <v>AA API / scrape</v>
      </c>
      <c r="M55" t="str">
        <v>Maybe</v>
      </c>
      <c r="N55" t="str">
        <v>Can be proxied via domain-specific benchmarks.</v>
      </c>
      <c r="O55" t="str">
        <v/>
      </c>
      <c r="P55" t="str">
        <v/>
      </c>
      <c r="Q55" t="str">
        <v/>
      </c>
      <c r="R55" t="str">
        <v/>
      </c>
      <c r="S55" t="str">
        <v/>
      </c>
    </row>
    <row r="56">
      <c r="A56" t="str">
        <v>036</v>
      </c>
      <c r="B56" t="str">
        <v>Epistemic Reliability &amp; Truthfulness</v>
      </c>
      <c r="C56" t="str">
        <v>Grounded summarization faithfulness</v>
      </c>
      <c r="D56" t="str">
        <v>Summaries stay supported by source material</v>
      </c>
      <c r="E56" t="str">
        <v>Extended</v>
      </c>
      <c r="F56" t="str">
        <v>Green</v>
      </c>
      <c r="G56" t="str">
        <v>Vectara Hallucination Leaderboard (HHEM)</v>
      </c>
      <c r="H56" t="str">
        <v>CRAG / RAG-style factual QA</v>
      </c>
      <c r="I56" t="str">
        <v>B</v>
      </c>
      <c r="J56" t="str">
        <v>GitHub / HF data</v>
      </c>
      <c r="K56" t="str">
        <v>Official Vectara GitHub + Hugging Face leaderboard</v>
      </c>
      <c r="L56" t="str">
        <v>GitHub / HF data</v>
      </c>
      <c r="M56" t="str">
        <v>Maybe</v>
      </c>
      <c r="N56" t="str">
        <v>Useful especially for enterprise use cases.</v>
      </c>
      <c r="O56" t="str">
        <v/>
      </c>
      <c r="P56" t="str">
        <v/>
      </c>
      <c r="Q56" t="str">
        <v/>
      </c>
      <c r="R56" t="str">
        <v/>
      </c>
      <c r="S56" t="str">
        <v/>
      </c>
    </row>
    <row r="57">
      <c r="A57" t="str">
        <v>040</v>
      </c>
      <c r="B57" t="str">
        <v>Metacognition / Ethical Discernment</v>
      </c>
      <c r="C57" t="str">
        <v>Error detection</v>
      </c>
      <c r="D57" t="str">
        <v>Notice likely mistakes before answering</v>
      </c>
      <c r="E57" t="str">
        <v>Extended</v>
      </c>
      <c r="F57" t="str">
        <v>Red</v>
      </c>
      <c r="G57" t="str">
        <v/>
      </c>
      <c r="H57" t="str">
        <v/>
      </c>
      <c r="I57" t="str">
        <v/>
      </c>
      <c r="J57" t="str">
        <v/>
      </c>
      <c r="K57" t="str">
        <v/>
      </c>
      <c r="L57" t="str">
        <v>None / internal eval</v>
      </c>
      <c r="M57" t="str">
        <v>No</v>
      </c>
      <c r="N57" t="str">
        <v>May need internal meta-evals.</v>
      </c>
      <c r="O57" t="str">
        <v/>
      </c>
      <c r="P57" t="str">
        <v/>
      </c>
      <c r="Q57" t="str">
        <v/>
      </c>
      <c r="R57" t="str">
        <v/>
      </c>
      <c r="S57" t="str">
        <v/>
      </c>
    </row>
    <row r="58">
      <c r="A58" t="str">
        <v>042</v>
      </c>
      <c r="B58" t="str">
        <v>Metacognition / Ethical Discernment</v>
      </c>
      <c r="C58" t="str">
        <v>Reflection quality</v>
      </c>
      <c r="D58" t="str">
        <v>Generate useful internal critique or revision plans</v>
      </c>
      <c r="E58" t="str">
        <v>Extended</v>
      </c>
      <c r="F58" t="str">
        <v>Red</v>
      </c>
      <c r="G58" t="str">
        <v/>
      </c>
      <c r="H58" t="str">
        <v/>
      </c>
      <c r="I58" t="str">
        <v/>
      </c>
      <c r="J58" t="str">
        <v/>
      </c>
      <c r="K58" t="str">
        <v/>
      </c>
      <c r="L58" t="str">
        <v>None / internal eval</v>
      </c>
      <c r="M58" t="str">
        <v>No</v>
      </c>
      <c r="N58" t="str">
        <v>No strong public benchmark source found.</v>
      </c>
      <c r="O58" t="str">
        <v/>
      </c>
      <c r="P58" t="str">
        <v/>
      </c>
      <c r="Q58" t="str">
        <v/>
      </c>
      <c r="R58" t="str">
        <v/>
      </c>
      <c r="S58" t="str">
        <v/>
      </c>
    </row>
    <row r="59">
      <c r="A59" t="str">
        <v>043</v>
      </c>
      <c r="B59" t="str">
        <v>Metacognition / Ethical Discernment</v>
      </c>
      <c r="C59" t="str">
        <v>Monitoring own tool use</v>
      </c>
      <c r="D59" t="str">
        <v>Detect bad tool calls or execution failures</v>
      </c>
      <c r="E59" t="str">
        <v>Extended</v>
      </c>
      <c r="F59" t="str">
        <v>Red</v>
      </c>
      <c r="G59" t="str">
        <v/>
      </c>
      <c r="H59" t="str">
        <v/>
      </c>
      <c r="I59" t="str">
        <v/>
      </c>
      <c r="J59" t="str">
        <v/>
      </c>
      <c r="K59" t="str">
        <v/>
      </c>
      <c r="L59" t="str">
        <v>None / internal eval</v>
      </c>
      <c r="M59" t="str">
        <v>No</v>
      </c>
      <c r="N59" t="str">
        <v>Likely needs internal agent traces.</v>
      </c>
      <c r="O59" t="str">
        <v/>
      </c>
      <c r="P59" t="str">
        <v/>
      </c>
      <c r="Q59" t="str">
        <v/>
      </c>
      <c r="R59" t="str">
        <v/>
      </c>
      <c r="S59" t="str">
        <v/>
      </c>
    </row>
    <row r="60">
      <c r="A60" t="str">
        <v>044</v>
      </c>
      <c r="B60" t="str">
        <v>Metacognition / Ethical Discernment</v>
      </c>
      <c r="C60" t="str">
        <v>Ethical conflict recognition</v>
      </c>
      <c r="D60" t="str">
        <v>Notice trade-offs and ethical constraints</v>
      </c>
      <c r="E60" t="str">
        <v>Extended</v>
      </c>
      <c r="F60" t="str">
        <v>Red</v>
      </c>
      <c r="G60" t="str">
        <v/>
      </c>
      <c r="H60" t="str">
        <v/>
      </c>
      <c r="I60" t="str">
        <v/>
      </c>
      <c r="J60" t="str">
        <v/>
      </c>
      <c r="K60" t="str">
        <v/>
      </c>
      <c r="L60" t="str">
        <v>None / internal eval</v>
      </c>
      <c r="M60" t="str">
        <v>No</v>
      </c>
      <c r="N60" t="str">
        <v>Public benchmarking is immature.</v>
      </c>
      <c r="O60" t="str">
        <v/>
      </c>
      <c r="P60" t="str">
        <v/>
      </c>
      <c r="Q60" t="str">
        <v/>
      </c>
      <c r="R60" t="str">
        <v/>
      </c>
      <c r="S60" t="str">
        <v/>
      </c>
    </row>
    <row r="61">
      <c r="A61" t="str">
        <v>045</v>
      </c>
      <c r="B61" t="str">
        <v>Metacognition / Ethical Discernment</v>
      </c>
      <c r="C61" t="str">
        <v>Instruction hierarchy / rule priority reasoning</v>
      </c>
      <c r="D61" t="str">
        <v>Respect higher-priority instructions over lower-priority ones</v>
      </c>
      <c r="E61" t="str">
        <v>Extended</v>
      </c>
      <c r="F61" t="str">
        <v>Yellow</v>
      </c>
      <c r="G61" t="str">
        <v>IFBench</v>
      </c>
      <c r="H61" t="str">
        <v>Gray Swan Indirect Prompt Injection Arena</v>
      </c>
      <c r="I61" t="str">
        <v>A</v>
      </c>
      <c r="J61" t="str">
        <v>AA scrape</v>
      </c>
      <c r="K61" t="str">
        <v>Artificial Analysis evaluation</v>
      </c>
      <c r="L61" t="str">
        <v>AA scrape</v>
      </c>
      <c r="M61" t="str">
        <v>Maybe</v>
      </c>
      <c r="N61" t="str">
        <v>Partial signal only; likely needs internal benchmark.</v>
      </c>
      <c r="O61" t="str">
        <v/>
      </c>
      <c r="P61" t="str">
        <v/>
      </c>
      <c r="Q61" t="str">
        <v/>
      </c>
      <c r="R61" t="str">
        <v/>
      </c>
      <c r="S61" t="str">
        <v/>
      </c>
    </row>
    <row r="62">
      <c r="A62" t="str">
        <v>046</v>
      </c>
      <c r="B62" t="str">
        <v>Metacognition / Ethical Discernment</v>
      </c>
      <c r="C62" t="str">
        <v>Honesty about limits</v>
      </c>
      <c r="D62" t="str">
        <v>Explicitly state uncertainty and missing knowledge</v>
      </c>
      <c r="E62" t="str">
        <v>Extended</v>
      </c>
      <c r="F62" t="str">
        <v>Yellow</v>
      </c>
      <c r="G62" t="str">
        <v>AA-Omniscience</v>
      </c>
      <c r="H62" t="str">
        <v>AbstentionBench</v>
      </c>
      <c r="I62" t="str">
        <v>A</v>
      </c>
      <c r="J62" t="str">
        <v>AA scrape</v>
      </c>
      <c r="K62" t="str">
        <v>Artificial Analysis evaluation</v>
      </c>
      <c r="L62" t="str">
        <v>AA scrape</v>
      </c>
      <c r="M62" t="str">
        <v>Maybe</v>
      </c>
      <c r="N62" t="str">
        <v>Can be approximated but not fully captured.</v>
      </c>
      <c r="O62" t="str">
        <v/>
      </c>
      <c r="P62" t="str">
        <v/>
      </c>
      <c r="Q62" t="str">
        <v/>
      </c>
      <c r="R62" t="str">
        <v/>
      </c>
      <c r="S62" t="str">
        <v/>
      </c>
    </row>
    <row r="63">
      <c r="A63" t="str">
        <v>049</v>
      </c>
      <c r="B63" t="str">
        <v>Social Interaction Competence</v>
      </c>
      <c r="C63" t="str">
        <v>Theory of mind</v>
      </c>
      <c r="D63" t="str">
        <v>Reason about beliefs, desires and hidden knowledge</v>
      </c>
      <c r="E63" t="str">
        <v>Extended</v>
      </c>
      <c r="F63" t="str">
        <v>Red</v>
      </c>
      <c r="G63" t="str">
        <v>FANToM</v>
      </c>
      <c r="H63" t="str">
        <v/>
      </c>
      <c r="I63" t="str">
        <v>D</v>
      </c>
      <c r="J63" t="str">
        <v>Internal eval needed</v>
      </c>
      <c r="K63" t="str">
        <v>Paper / dataset</v>
      </c>
      <c r="L63" t="str">
        <v>Internal eval needed</v>
      </c>
      <c r="M63" t="str">
        <v>No</v>
      </c>
      <c r="N63" t="str">
        <v>Still a benchmark gap operationally.</v>
      </c>
      <c r="O63" t="str">
        <v/>
      </c>
      <c r="P63" t="str">
        <v/>
      </c>
      <c r="Q63" t="str">
        <v/>
      </c>
      <c r="R63" t="str">
        <v/>
      </c>
      <c r="S63" t="str">
        <v/>
      </c>
    </row>
    <row r="64">
      <c r="A64" t="str">
        <v>051</v>
      </c>
      <c r="B64" t="str">
        <v>Social Interaction Competence</v>
      </c>
      <c r="C64" t="str">
        <v>Coordination competence</v>
      </c>
      <c r="D64" t="str">
        <v>Coordinate actions with a user over multiple turns</v>
      </c>
      <c r="E64" t="str">
        <v>Extended</v>
      </c>
      <c r="F64" t="str">
        <v>Green</v>
      </c>
      <c r="G64" t="str">
        <v>τ²-Bench Telecom</v>
      </c>
      <c r="H64" t="str">
        <v/>
      </c>
      <c r="I64" t="str">
        <v>A</v>
      </c>
      <c r="J64" t="str">
        <v>AA scrape</v>
      </c>
      <c r="K64" t="str">
        <v>Artificial Analysis evaluation</v>
      </c>
      <c r="L64" t="str">
        <v>AA scrape</v>
      </c>
      <c r="M64" t="str">
        <v>Maybe</v>
      </c>
      <c r="N64" t="str">
        <v>One of the rare direct public signals.</v>
      </c>
      <c r="O64" t="str">
        <v/>
      </c>
      <c r="P64" t="str">
        <v/>
      </c>
      <c r="Q64" t="str">
        <v/>
      </c>
      <c r="R64" t="str">
        <v/>
      </c>
      <c r="S64" t="str">
        <v/>
      </c>
    </row>
    <row r="65">
      <c r="A65" t="str">
        <v>053</v>
      </c>
      <c r="B65" t="str">
        <v>Social Interaction Competence</v>
      </c>
      <c r="C65" t="str">
        <v>Empathy / supportive communication</v>
      </c>
      <c r="D65" t="str">
        <v>Show appropriate empathy and validation</v>
      </c>
      <c r="E65" t="str">
        <v>Extended</v>
      </c>
      <c r="F65" t="str">
        <v>Green</v>
      </c>
      <c r="G65" t="str">
        <v>EQ-Bench 3</v>
      </c>
      <c r="H65" t="str">
        <v/>
      </c>
      <c r="I65" t="str">
        <v>B</v>
      </c>
      <c r="J65" t="str">
        <v>Scrape</v>
      </c>
      <c r="K65" t="str">
        <v>Official EQ-Bench 3 leaderboard</v>
      </c>
      <c r="L65" t="str">
        <v>Scrape</v>
      </c>
      <c r="M65" t="str">
        <v>Maybe</v>
      </c>
      <c r="N65" t="str">
        <v>Treat as softer signal, not decisive.</v>
      </c>
      <c r="O65" t="str">
        <v/>
      </c>
      <c r="P65" t="str">
        <v/>
      </c>
      <c r="Q65" t="str">
        <v/>
      </c>
      <c r="R65" t="str">
        <v/>
      </c>
      <c r="S65" t="str">
        <v/>
      </c>
    </row>
    <row r="66">
      <c r="A66" t="str">
        <v>054</v>
      </c>
      <c r="B66" t="str">
        <v>Social Interaction Competence</v>
      </c>
      <c r="C66" t="str">
        <v>De-escalation / conflict handling</v>
      </c>
      <c r="D66" t="str">
        <v>Reduce tension without losing task focus</v>
      </c>
      <c r="E66" t="str">
        <v>Extended</v>
      </c>
      <c r="F66" t="str">
        <v>Yellow</v>
      </c>
      <c r="G66" t="str">
        <v>EQ-Bench 3</v>
      </c>
      <c r="H66" t="str">
        <v>τ²-Bench Telecom</v>
      </c>
      <c r="I66" t="str">
        <v>B</v>
      </c>
      <c r="J66" t="str">
        <v>Scrape</v>
      </c>
      <c r="K66" t="str">
        <v>Official EQ-Bench 3 leaderboard</v>
      </c>
      <c r="L66" t="str">
        <v>Scrape</v>
      </c>
      <c r="M66" t="str">
        <v>Maybe</v>
      </c>
      <c r="N66" t="str">
        <v>Only partially covered by current public benchmarks.</v>
      </c>
      <c r="O66" t="str">
        <v/>
      </c>
      <c r="P66" t="str">
        <v/>
      </c>
      <c r="Q66" t="str">
        <v/>
      </c>
      <c r="R66" t="str">
        <v/>
      </c>
      <c r="S66" t="str">
        <v/>
      </c>
    </row>
    <row r="67">
      <c r="A67" t="str">
        <v>055</v>
      </c>
      <c r="B67" t="str">
        <v>Social Interaction Competence</v>
      </c>
      <c r="C67" t="str">
        <v>Fairness / appropriateness</v>
      </c>
      <c r="D67" t="str">
        <v>Stay respectful, appropriate and socially aligned</v>
      </c>
      <c r="E67" t="str">
        <v>Extended</v>
      </c>
      <c r="F67" t="str">
        <v>Red</v>
      </c>
      <c r="G67" t="str">
        <v/>
      </c>
      <c r="H67" t="str">
        <v/>
      </c>
      <c r="I67" t="str">
        <v/>
      </c>
      <c r="J67" t="str">
        <v/>
      </c>
      <c r="K67" t="str">
        <v/>
      </c>
      <c r="L67" t="str">
        <v>None / internal eval</v>
      </c>
      <c r="M67" t="str">
        <v>No</v>
      </c>
      <c r="N67" t="str">
        <v>Needs policy + social interaction evals, not found as a stable public leaderboard.</v>
      </c>
      <c r="O67" t="str">
        <v/>
      </c>
      <c r="P67" t="str">
        <v/>
      </c>
      <c r="Q67" t="str">
        <v/>
      </c>
      <c r="R67" t="str">
        <v/>
      </c>
      <c r="S67" t="str">
        <v/>
      </c>
    </row>
    <row r="68">
      <c r="A68" t="str">
        <v>060</v>
      </c>
      <c r="B68" t="str">
        <v>Multimodal Understanding</v>
      </c>
      <c r="C68" t="str">
        <v>Chart / diagram reasoning</v>
      </c>
      <c r="D68" t="str">
        <v>Interpret charts, plots and structured visuals</v>
      </c>
      <c r="E68" t="str">
        <v>Extended</v>
      </c>
      <c r="F68" t="str">
        <v>Yellow</v>
      </c>
      <c r="G68" t="str">
        <v>Visual Maths Benchmark</v>
      </c>
      <c r="H68" t="str">
        <v>MMMU-Pro</v>
      </c>
      <c r="I68" t="str">
        <v>C</v>
      </c>
      <c r="J68" t="str">
        <v>Manual / scrape</v>
      </c>
      <c r="K68" t="str">
        <v>Project leaderboard</v>
      </c>
      <c r="L68" t="str">
        <v>Manual / scrape</v>
      </c>
      <c r="M68" t="str">
        <v>Maybe</v>
      </c>
      <c r="N68" t="str">
        <v>Good to track, but coverage is still narrow.</v>
      </c>
      <c r="O68" t="str">
        <v/>
      </c>
      <c r="P68" t="str">
        <v/>
      </c>
      <c r="Q68" t="str">
        <v/>
      </c>
      <c r="R68" t="str">
        <v/>
      </c>
      <c r="S68" t="str">
        <v/>
      </c>
    </row>
    <row r="69">
      <c r="A69" t="str">
        <v>061</v>
      </c>
      <c r="B69" t="str">
        <v>Multimodal Understanding</v>
      </c>
      <c r="C69" t="str">
        <v>OCR / document understanding</v>
      </c>
      <c r="D69" t="str">
        <v>Read embedded text and documents visually</v>
      </c>
      <c r="E69" t="str">
        <v>Extended</v>
      </c>
      <c r="F69" t="str">
        <v>Yellow</v>
      </c>
      <c r="G69" t="str">
        <v>MMBench</v>
      </c>
      <c r="H69" t="str">
        <v>MMMU-Pro</v>
      </c>
      <c r="I69" t="str">
        <v>B</v>
      </c>
      <c r="J69" t="str">
        <v>Scrape / HF data</v>
      </c>
      <c r="K69" t="str">
        <v>Official OpenCompass Hugging Face space</v>
      </c>
      <c r="L69" t="str">
        <v>Scrape / HF data</v>
      </c>
      <c r="M69" t="str">
        <v>Maybe</v>
      </c>
      <c r="N69" t="str">
        <v>Benchmarks exist but not a single gold-standard leaderboard.</v>
      </c>
      <c r="O69" t="str">
        <v/>
      </c>
      <c r="P69" t="str">
        <v/>
      </c>
      <c r="Q69" t="str">
        <v/>
      </c>
      <c r="R69" t="str">
        <v/>
      </c>
      <c r="S69" t="str">
        <v/>
      </c>
    </row>
    <row r="70">
      <c r="A70" t="str">
        <v>062</v>
      </c>
      <c r="B70" t="str">
        <v>Multimodal Understanding</v>
      </c>
      <c r="C70" t="str">
        <v>Visual quantitative reasoning</v>
      </c>
      <c r="D70" t="str">
        <v>Solve math in visual contexts</v>
      </c>
      <c r="E70" t="str">
        <v>Extended</v>
      </c>
      <c r="F70" t="str">
        <v>Yellow</v>
      </c>
      <c r="G70" t="str">
        <v>Visual Maths Benchmark</v>
      </c>
      <c r="H70" t="str">
        <v>MMMU-Pro</v>
      </c>
      <c r="I70" t="str">
        <v>C</v>
      </c>
      <c r="J70" t="str">
        <v>Manual / scrape</v>
      </c>
      <c r="K70" t="str">
        <v>Project leaderboard</v>
      </c>
      <c r="L70" t="str">
        <v>Manual / scrape</v>
      </c>
      <c r="M70" t="str">
        <v>Maybe</v>
      </c>
      <c r="N70" t="str">
        <v>Nice extension metric.</v>
      </c>
      <c r="O70" t="str">
        <v/>
      </c>
      <c r="P70" t="str">
        <v/>
      </c>
      <c r="Q70" t="str">
        <v/>
      </c>
      <c r="R70" t="str">
        <v/>
      </c>
      <c r="S70" t="str">
        <v/>
      </c>
    </row>
    <row r="71">
      <c r="A71" t="str">
        <v>063</v>
      </c>
      <c r="B71" t="str">
        <v>Multimodal Understanding</v>
      </c>
      <c r="C71" t="str">
        <v>Multimodal generation</v>
      </c>
      <c r="D71" t="str">
        <v>Generate images from text prompts</v>
      </c>
      <c r="E71" t="str">
        <v>Extended</v>
      </c>
      <c r="F71" t="str">
        <v>Green</v>
      </c>
      <c r="G71" t="str">
        <v>Artificial Analysis Text-to-Image Leaderboard</v>
      </c>
      <c r="H71" t="str">
        <v/>
      </c>
      <c r="I71" t="str">
        <v>A</v>
      </c>
      <c r="J71" t="str">
        <v>AA API</v>
      </c>
      <c r="K71" t="str">
        <v>Artificial Analysis API + leaderboard</v>
      </c>
      <c r="L71" t="str">
        <v>AA API</v>
      </c>
      <c r="M71" t="str">
        <v>Maybe</v>
      </c>
      <c r="N71" t="str">
        <v>Public ELO API is strong; keep separate from understanding score.</v>
      </c>
      <c r="O71" t="str">
        <v/>
      </c>
      <c r="P71" t="str">
        <v/>
      </c>
      <c r="Q71" t="str">
        <v/>
      </c>
      <c r="R71" t="str">
        <v/>
      </c>
      <c r="S71" t="str">
        <v/>
      </c>
    </row>
    <row r="72">
      <c r="A72" t="str">
        <v>064</v>
      </c>
      <c r="B72" t="str">
        <v>Multimodal Understanding</v>
      </c>
      <c r="C72" t="str">
        <v>Video understanding</v>
      </c>
      <c r="D72" t="str">
        <v>Understand events over time in video</v>
      </c>
      <c r="E72" t="str">
        <v>Extended</v>
      </c>
      <c r="F72" t="str">
        <v>Red</v>
      </c>
      <c r="G72" t="str">
        <v/>
      </c>
      <c r="H72" t="str">
        <v/>
      </c>
      <c r="I72" t="str">
        <v/>
      </c>
      <c r="J72" t="str">
        <v/>
      </c>
      <c r="K72" t="str">
        <v/>
      </c>
      <c r="L72" t="str">
        <v>None / internal eval</v>
      </c>
      <c r="M72" t="str">
        <v>No</v>
      </c>
      <c r="N72" t="str">
        <v>No reliable public benchmark leaderboard selected for this workbook.</v>
      </c>
      <c r="O72" t="str">
        <v/>
      </c>
      <c r="P72" t="str">
        <v/>
      </c>
      <c r="Q72" t="str">
        <v/>
      </c>
      <c r="R72" t="str">
        <v/>
      </c>
      <c r="S72" t="str">
        <v/>
      </c>
    </row>
    <row r="73">
      <c r="A73" t="str">
        <v>065</v>
      </c>
      <c r="B73" t="str">
        <v>Multimodal Understanding</v>
      </c>
      <c r="C73" t="str">
        <v>Audio understanding</v>
      </c>
      <c r="D73" t="str">
        <v>Understand speech and audio scenes</v>
      </c>
      <c r="E73" t="str">
        <v>Extended</v>
      </c>
      <c r="F73" t="str">
        <v>Red</v>
      </c>
      <c r="G73" t="str">
        <v/>
      </c>
      <c r="H73" t="str">
        <v/>
      </c>
      <c r="I73" t="str">
        <v/>
      </c>
      <c r="J73" t="str">
        <v/>
      </c>
      <c r="K73" t="str">
        <v/>
      </c>
      <c r="L73" t="str">
        <v>None / internal eval</v>
      </c>
      <c r="M73" t="str">
        <v>No</v>
      </c>
      <c r="N73" t="str">
        <v>Outside v1 scope; no selected leaderboard.</v>
      </c>
      <c r="O73" t="str">
        <v/>
      </c>
      <c r="P73" t="str">
        <v/>
      </c>
      <c r="Q73" t="str">
        <v/>
      </c>
      <c r="R73" t="str">
        <v/>
      </c>
      <c r="S73" t="str">
        <v/>
      </c>
    </row>
    <row r="74">
      <c r="A74" t="str">
        <v>067</v>
      </c>
      <c r="B74" t="str">
        <v>Safety &amp; Controllability</v>
      </c>
      <c r="C74" t="str">
        <v>Instruction following generalization</v>
      </c>
      <c r="D74" t="str">
        <v>Generalize to unfamiliar constraint combinations</v>
      </c>
      <c r="E74" t="str">
        <v>Extended</v>
      </c>
      <c r="F74" t="str">
        <v>Green</v>
      </c>
      <c r="G74" t="str">
        <v>IFBench</v>
      </c>
      <c r="H74" t="str">
        <v>Open LLM Leaderboard v2</v>
      </c>
      <c r="I74" t="str">
        <v>A</v>
      </c>
      <c r="J74" t="str">
        <v>AA scrape</v>
      </c>
      <c r="K74" t="str">
        <v>Artificial Analysis evaluation</v>
      </c>
      <c r="L74" t="str">
        <v>AA scrape</v>
      </c>
      <c r="M74" t="str">
        <v>Maybe</v>
      </c>
      <c r="N74" t="str">
        <v>Could be rolled into steerability for v1.</v>
      </c>
      <c r="O74" t="str">
        <v/>
      </c>
      <c r="P74" t="str">
        <v/>
      </c>
      <c r="Q74" t="str">
        <v/>
      </c>
      <c r="R74" t="str">
        <v/>
      </c>
      <c r="S74" t="str">
        <v/>
      </c>
    </row>
    <row r="75">
      <c r="A75" t="str">
        <v>073</v>
      </c>
      <c r="B75" t="str">
        <v>Safety &amp; Controllability</v>
      </c>
      <c r="C75" t="str">
        <v>Sensitive information protection</v>
      </c>
      <c r="D75" t="str">
        <v>Protect secrets, credentials and PII</v>
      </c>
      <c r="E75" t="str">
        <v>Extended</v>
      </c>
      <c r="F75" t="str">
        <v>Red</v>
      </c>
      <c r="G75" t="str">
        <v/>
      </c>
      <c r="H75" t="str">
        <v/>
      </c>
      <c r="I75" t="str">
        <v/>
      </c>
      <c r="J75" t="str">
        <v/>
      </c>
      <c r="K75" t="str">
        <v/>
      </c>
      <c r="L75" t="str">
        <v>None / internal eval</v>
      </c>
      <c r="M75" t="str">
        <v>No</v>
      </c>
      <c r="N75" t="str">
        <v>Likely needs internal security evals.</v>
      </c>
      <c r="O75" t="str">
        <v/>
      </c>
      <c r="P75" t="str">
        <v/>
      </c>
      <c r="Q75" t="str">
        <v/>
      </c>
      <c r="R75" t="str">
        <v/>
      </c>
      <c r="S75" t="str">
        <v/>
      </c>
    </row>
    <row r="76">
      <c r="A76" t="str">
        <v>075</v>
      </c>
      <c r="B76" t="str">
        <v>Safety &amp; Controllability</v>
      </c>
      <c r="C76" t="str">
        <v>Tool safety / action gating</v>
      </c>
      <c r="D76" t="str">
        <v>Take safe actions when tools can change the world</v>
      </c>
      <c r="E76" t="str">
        <v>Extended</v>
      </c>
      <c r="F76" t="str">
        <v>Red</v>
      </c>
      <c r="G76" t="str">
        <v/>
      </c>
      <c r="H76" t="str">
        <v/>
      </c>
      <c r="I76" t="str">
        <v/>
      </c>
      <c r="J76" t="str">
        <v/>
      </c>
      <c r="K76" t="str">
        <v/>
      </c>
      <c r="L76" t="str">
        <v>None / internal eval</v>
      </c>
      <c r="M76" t="str">
        <v>No</v>
      </c>
      <c r="N76" t="str">
        <v>No stable public leaderboard found.</v>
      </c>
      <c r="O76" t="str">
        <v/>
      </c>
      <c r="P76" t="str">
        <v/>
      </c>
      <c r="Q76" t="str">
        <v/>
      </c>
      <c r="R76" t="str">
        <v/>
      </c>
      <c r="S76" t="str">
        <v/>
      </c>
    </row>
    <row r="77">
      <c r="A77" t="str">
        <v>076</v>
      </c>
      <c r="B77" t="str">
        <v>Safety &amp; Controllability</v>
      </c>
      <c r="C77" t="str">
        <v>Policy consistency across turns</v>
      </c>
      <c r="D77" t="str">
        <v>Apply safety policies consistently over time</v>
      </c>
      <c r="E77" t="str">
        <v>Extended</v>
      </c>
      <c r="F77" t="str">
        <v>Red</v>
      </c>
      <c r="G77" t="str">
        <v/>
      </c>
      <c r="H77" t="str">
        <v/>
      </c>
      <c r="I77" t="str">
        <v/>
      </c>
      <c r="J77" t="str">
        <v/>
      </c>
      <c r="K77" t="str">
        <v/>
      </c>
      <c r="L77" t="str">
        <v>None / internal eval</v>
      </c>
      <c r="M77" t="str">
        <v>No</v>
      </c>
      <c r="N77" t="str">
        <v>Needs long-horizon safety evaluation.</v>
      </c>
      <c r="O77" t="str">
        <v/>
      </c>
      <c r="P77" t="str">
        <v/>
      </c>
      <c r="Q77" t="str">
        <v/>
      </c>
      <c r="R77" t="str">
        <v/>
      </c>
      <c r="S77" t="str">
        <v/>
      </c>
    </row>
    <row r="78">
      <c r="A78" t="str">
        <v>077</v>
      </c>
      <c r="B78" t="str">
        <v>Safety &amp; Controllability</v>
      </c>
      <c r="C78" t="str">
        <v>Transparency / openness (auxiliary)</v>
      </c>
      <c r="D78" t="str">
        <v>Expose evidence of openness and documentation</v>
      </c>
      <c r="E78" t="str">
        <v>Extended</v>
      </c>
      <c r="F78" t="str">
        <v>Green</v>
      </c>
      <c r="G78" t="str">
        <v>Artificial Analysis Openness Index</v>
      </c>
      <c r="H78" t="str">
        <v/>
      </c>
      <c r="I78" t="str">
        <v>A</v>
      </c>
      <c r="J78" t="str">
        <v>Scrape</v>
      </c>
      <c r="K78" t="str">
        <v>Artificial Analysis leaderboard</v>
      </c>
      <c r="L78" t="str">
        <v>Scrape</v>
      </c>
      <c r="M78" t="str">
        <v>Maybe</v>
      </c>
      <c r="N78" t="str">
        <v>System-level auxiliary metric, not AGI score core.</v>
      </c>
      <c r="O78" t="str">
        <v/>
      </c>
      <c r="P78" t="str">
        <v/>
      </c>
      <c r="Q78" t="str">
        <v/>
      </c>
      <c r="R78" t="str">
        <v/>
      </c>
      <c r="S78" t="str">
        <v/>
      </c>
    </row>
  </sheetData>
  <ignoredErrors>
    <ignoredError numberStoredAsText="1" sqref="A1:S78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P43"/>
  <sheetViews>
    <sheetView workbookViewId="0" rightToLeft="0"/>
  </sheetViews>
  <sheetData>
    <row r="1">
      <c r="A1" t="str">
        <v>Benchmark ID</v>
      </c>
      <c r="B1" t="str">
        <v>Benchmark</v>
      </c>
      <c r="C1" t="str">
        <v>Primary dimension</v>
      </c>
      <c r="D1" t="str">
        <v>Primary capabilities covered</v>
      </c>
      <c r="E1" t="str">
        <v>What the benchmark actually measures</v>
      </c>
      <c r="F1" t="str">
        <v>Leaderboard / source</v>
      </c>
      <c r="G1" t="str">
        <v>Source owner</v>
      </c>
      <c r="H1" t="str">
        <v>Source tier</v>
      </c>
      <c r="I1" t="str">
        <v>Tracker status</v>
      </c>
      <c r="J1" t="str">
        <v>Public leaderboard?</v>
      </c>
      <c r="K1" t="str">
        <v>API / ingest path</v>
      </c>
      <c r="L1" t="str">
        <v>Update cadence</v>
      </c>
      <c r="M1" t="str">
        <v>Why use it</v>
      </c>
      <c r="N1" t="str">
        <v>Main caveat</v>
      </c>
      <c r="O1" t="str">
        <v>Primary URL</v>
      </c>
      <c r="P1" t="str">
        <v>Secondary URL</v>
      </c>
    </row>
    <row r="2">
      <c r="A2" t="str">
        <v>GAIA</v>
      </c>
      <c r="B2" t="str">
        <v>GAIA</v>
      </c>
      <c r="C2" t="str">
        <v>Cognitive Reasoning &amp; Task Execution</v>
      </c>
      <c r="D2" t="str">
        <v>Problem understanding; planning; execution control; real-world task execution</v>
      </c>
      <c r="E2" t="str">
        <v>Tool-using general assistant tasks with unambiguous answers across different difficulty levels</v>
      </c>
      <c r="F2" t="str">
        <v>Official GAIA Hugging Face leaderboard</v>
      </c>
      <c r="G2" t="str">
        <v>GAIA benchmark team</v>
      </c>
      <c r="H2" t="str">
        <v>B</v>
      </c>
      <c r="I2" t="str">
        <v>Green</v>
      </c>
      <c r="J2" t="str">
        <v>Yes</v>
      </c>
      <c r="K2" t="str">
        <v>Scrape / HF space data</v>
      </c>
      <c r="L2" t="str">
        <v>Submission driven</v>
      </c>
      <c r="M2" t="str">
        <v>Closest public benchmark to broad assistant task completion</v>
      </c>
      <c r="N2" t="str">
        <v>Coverage is narrower than real work; some scraping may be brittle</v>
      </c>
      <c r="O2" t="str">
        <v>https://huggingface.co/spaces/gaia-benchmark/leaderboard</v>
      </c>
      <c r="P2" t="str">
        <v>https://gaia-benchmark-leaderboard.hf.space/</v>
      </c>
    </row>
    <row r="3">
      <c r="A3" t="str">
        <v>ARC_AGI_2</v>
      </c>
      <c r="B3" t="str">
        <v>ARC-AGI-2 / ARC Prize</v>
      </c>
      <c r="C3" t="str">
        <v>Learning &amp; Generalization</v>
      </c>
      <c r="D3" t="str">
        <v>Novel problem solving; OOD generalization; compositional reasoning; efficiency</v>
      </c>
      <c r="E3" t="str">
        <v>Fluid intelligence, adaptability and efficiency on abstract reasoning tasks</v>
      </c>
      <c r="F3" t="str">
        <v>Official ARC Prize leaderboard</v>
      </c>
      <c r="G3" t="str">
        <v>ARC Prize</v>
      </c>
      <c r="H3" t="str">
        <v>B</v>
      </c>
      <c r="I3" t="str">
        <v>Green</v>
      </c>
      <c r="J3" t="str">
        <v>Yes</v>
      </c>
      <c r="K3" t="str">
        <v>Scrape</v>
      </c>
      <c r="L3" t="str">
        <v>Competition / leaderboard updates</v>
      </c>
      <c r="M3" t="str">
        <v>Strong signal for adaptability and non-memorized problem solving</v>
      </c>
      <c r="N3" t="str">
        <v>Very specific task family; should not dominate overall AGI scoring</v>
      </c>
      <c r="O3" t="str">
        <v>https://arcprize.org/leaderboard</v>
      </c>
      <c r="P3" t="str">
        <v>https://newhotness.arcprize.org/competitions/2026/arc-agi-2</v>
      </c>
    </row>
    <row r="4">
      <c r="A4" t="str">
        <v>AIME25_AA</v>
      </c>
      <c r="B4" t="str">
        <v>AIME 2025</v>
      </c>
      <c r="C4" t="str">
        <v>Cognitive Reasoning &amp; Task Execution</v>
      </c>
      <c r="D4" t="str">
        <v>Quantitative reasoning; multi-step reasoning under constraints</v>
      </c>
      <c r="E4" t="str">
        <v>Olympiad-level mathematical reasoning with integer answers</v>
      </c>
      <c r="F4" t="str">
        <v>Artificial Analysis evaluation</v>
      </c>
      <c r="G4" t="str">
        <v>Artificial Analysis</v>
      </c>
      <c r="H4" t="str">
        <v>A</v>
      </c>
      <c r="I4" t="str">
        <v>Green</v>
      </c>
      <c r="J4" t="str">
        <v>Yes</v>
      </c>
      <c r="K4" t="str">
        <v>AA API / scrape</v>
      </c>
      <c r="L4" t="str">
        <v>Periodic model additions</v>
      </c>
      <c r="M4" t="str">
        <v>High-signal quantitative reasoning benchmark with clear scoring</v>
      </c>
      <c r="N4" t="str">
        <v>Narrow math slice, not enough for general reasoning alone</v>
      </c>
      <c r="O4" t="str">
        <v>https://artificialanalysis.ai/evaluations/aime-2025</v>
      </c>
      <c r="P4" t="str">
        <v>https://artificialanalysis.ai/api-reference</v>
      </c>
    </row>
    <row r="5">
      <c r="A5" t="str">
        <v>HLE_AA</v>
      </c>
      <c r="B5" t="str">
        <v>Humanity's Last Exam</v>
      </c>
      <c r="C5" t="str">
        <v>Cognitive Reasoning &amp; Task Execution</v>
      </c>
      <c r="D5" t="str">
        <v>Frontier reasoning; broad academic problem solving; expert-level tasks</v>
      </c>
      <c r="E5" t="str">
        <v>2,500 expert-vetted questions across mathematics, sciences and humanities</v>
      </c>
      <c r="F5" t="str">
        <v>Artificial Analysis evaluation</v>
      </c>
      <c r="G5" t="str">
        <v>Artificial Analysis / HLE project</v>
      </c>
      <c r="H5" t="str">
        <v>A</v>
      </c>
      <c r="I5" t="str">
        <v>Green</v>
      </c>
      <c r="J5" t="str">
        <v>Yes</v>
      </c>
      <c r="K5" t="str">
        <v>AA scrape / likely API field</v>
      </c>
      <c r="L5" t="str">
        <v>Periodic model additions</v>
      </c>
      <c r="M5" t="str">
        <v>Good frontier reasoning anchor across many subjects</v>
      </c>
      <c r="N5" t="str">
        <v>Still closed-ended academic reasoning, not agency</v>
      </c>
      <c r="O5" t="str">
        <v>https://artificialanalysis.ai/evaluations/humanitys-last-exam</v>
      </c>
      <c r="P5" t="str">
        <v>https://lastexam.ai/</v>
      </c>
    </row>
    <row r="6">
      <c r="A6" t="str">
        <v>GPQA_AA</v>
      </c>
      <c r="B6" t="str">
        <v>GPQA Diamond</v>
      </c>
      <c r="C6" t="str">
        <v>Cognitive Reasoning &amp; Task Execution</v>
      </c>
      <c r="D6" t="str">
        <v>Scientific reasoning; expert knowledge reasoning</v>
      </c>
      <c r="E6" t="str">
        <v>Hard PhD-level science questions where experts outperform skilled non-experts</v>
      </c>
      <c r="F6" t="str">
        <v>Artificial Analysis evaluation</v>
      </c>
      <c r="G6" t="str">
        <v>Artificial Analysis</v>
      </c>
      <c r="H6" t="str">
        <v>A</v>
      </c>
      <c r="I6" t="str">
        <v>Green</v>
      </c>
      <c r="J6" t="str">
        <v>Yes</v>
      </c>
      <c r="K6" t="str">
        <v>AA API / scrape</v>
      </c>
      <c r="L6" t="str">
        <v>Periodic model additions</v>
      </c>
      <c r="M6" t="str">
        <v>Good anchor for scientific reasoning depth</v>
      </c>
      <c r="N6" t="str">
        <v>Still MCQ-like; not laboratory or research workflow execution</v>
      </c>
      <c r="O6" t="str">
        <v>https://artificialanalysis.ai/evaluations/gpqa-diamond</v>
      </c>
      <c r="P6" t="str">
        <v>https://artificialanalysis.ai/api-reference</v>
      </c>
    </row>
    <row r="7">
      <c r="A7" t="str">
        <v>GDPVAL_AA</v>
      </c>
      <c r="B7" t="str">
        <v>GDPval-AA</v>
      </c>
      <c r="C7" t="str">
        <v>Cognitive Reasoning &amp; Task Execution</v>
      </c>
      <c r="D7" t="str">
        <v>Real-world task execution; workflow completion; execution control</v>
      </c>
      <c r="E7" t="str">
        <v>Agentic completion of economically valuable tasks across occupations and industries using tools</v>
      </c>
      <c r="F7" t="str">
        <v>Artificial Analysis evaluation</v>
      </c>
      <c r="G7" t="str">
        <v>Artificial Analysis / OpenAI GDPval dataset</v>
      </c>
      <c r="H7" t="str">
        <v>A</v>
      </c>
      <c r="I7" t="str">
        <v>Green</v>
      </c>
      <c r="J7" t="str">
        <v>Yes</v>
      </c>
      <c r="K7" t="str">
        <v>AA scrape</v>
      </c>
      <c r="L7" t="str">
        <v>Periodic</v>
      </c>
      <c r="M7" t="str">
        <v>Closest public benchmark to economically relevant knowledge work</v>
      </c>
      <c r="N7" t="str">
        <v>ELO and pairwise setup need normalization for fusion with pass@1 metrics</v>
      </c>
      <c r="O7" t="str">
        <v>https://artificialanalysis.ai/evaluations/gdpval-aa</v>
      </c>
      <c r="P7" t="str">
        <v>https://gdpval.pro/gdpval-leaderboard</v>
      </c>
    </row>
    <row r="8">
      <c r="A8" t="str">
        <v>TAU2_AA</v>
      </c>
      <c r="B8" t="str">
        <v>τ²-Bench Telecom</v>
      </c>
      <c r="C8" t="str">
        <v>Social Interaction Competence</v>
      </c>
      <c r="D8" t="str">
        <v>Interaction quality; coordination; multi-turn task completion</v>
      </c>
      <c r="E8" t="str">
        <v>Dual-control support scenarios where model and user coordinate actions to solve telecom issues</v>
      </c>
      <c r="F8" t="str">
        <v>Artificial Analysis evaluation</v>
      </c>
      <c r="G8" t="str">
        <v>Artificial Analysis / τ²-Bench project</v>
      </c>
      <c r="H8" t="str">
        <v>A</v>
      </c>
      <c r="I8" t="str">
        <v>Green</v>
      </c>
      <c r="J8" t="str">
        <v>Yes</v>
      </c>
      <c r="K8" t="str">
        <v>AA scrape</v>
      </c>
      <c r="L8" t="str">
        <v>Periodic</v>
      </c>
      <c r="M8" t="str">
        <v>Rare benchmark that measures coordination, not just one-shot answer quality</v>
      </c>
      <c r="N8" t="str">
        <v>Domain-specific; extremely high top scores may reduce spread over time</v>
      </c>
      <c r="O8" t="str">
        <v>https://artificialanalysis.ai/evaluations/tau2-bench</v>
      </c>
      <c r="P8" t="str">
        <v>https://llm-stats.com/benchmarks/tau2-bench</v>
      </c>
    </row>
    <row r="9">
      <c r="A9" t="str">
        <v>TERMINAL_BENCH_HARD_AA</v>
      </c>
      <c r="B9" t="str">
        <v>Terminal-Bench Hard</v>
      </c>
      <c r="C9" t="str">
        <v>Cognitive Reasoning &amp; Task Execution</v>
      </c>
      <c r="D9" t="str">
        <v>Execution control; long-horizon planning; terminal-based workflows</v>
      </c>
      <c r="E9" t="str">
        <v>Hard, realistic terminal tasks across software engineering, sysadmin and data processing</v>
      </c>
      <c r="F9" t="str">
        <v>Artificial Analysis evaluation / Terminal-Bench site</v>
      </c>
      <c r="G9" t="str">
        <v>Artificial Analysis / Terminal-Bench</v>
      </c>
      <c r="H9" t="str">
        <v>A</v>
      </c>
      <c r="I9" t="str">
        <v>Green</v>
      </c>
      <c r="J9" t="str">
        <v>Yes</v>
      </c>
      <c r="K9" t="str">
        <v>AA scrape / site scrape</v>
      </c>
      <c r="L9" t="str">
        <v>Periodic</v>
      </c>
      <c r="M9" t="str">
        <v>Strong signal for step-by-step execution in a real environment</v>
      </c>
      <c r="N9" t="str">
        <v>Terminal-heavy; excludes many non-terminal work tasks</v>
      </c>
      <c r="O9" t="str">
        <v>https://artificialanalysis.ai/evaluations/terminalbench-hard</v>
      </c>
      <c r="P9" t="str">
        <v>https://www.tbench.ai/</v>
      </c>
    </row>
    <row r="10">
      <c r="A10" t="str">
        <v>BFCL_V4</v>
      </c>
      <c r="B10" t="str">
        <v>Berkeley Function Calling Leaderboard (BFCL) V4</v>
      </c>
      <c r="C10" t="str">
        <v>Cognitive Reasoning &amp; Task Execution</v>
      </c>
      <c r="D10" t="str">
        <v>Tool-use reliability; function calling; multi-turn tool invocation</v>
      </c>
      <c r="E10" t="str">
        <v>Executable correctness of function/tool calls across real-world scenarios</v>
      </c>
      <c r="F10" t="str">
        <v>Official BFCL leaderboard</v>
      </c>
      <c r="G10" t="str">
        <v>UC Berkeley / Gorilla</v>
      </c>
      <c r="H10" t="str">
        <v>B</v>
      </c>
      <c r="I10" t="str">
        <v>Green</v>
      </c>
      <c r="J10" t="str">
        <v>Yes</v>
      </c>
      <c r="K10" t="str">
        <v>Scrape</v>
      </c>
      <c r="L10" t="str">
        <v>Periodic</v>
      </c>
      <c r="M10" t="str">
        <v>Best-known public function-calling benchmark with clear execution semantics</v>
      </c>
      <c r="N10" t="str">
        <v>Tool calling is necessary but not sufficient for broader agent reliability</v>
      </c>
      <c r="O10" t="str">
        <v>https://gorilla.cs.berkeley.edu/leaderboard.html</v>
      </c>
      <c r="P10" t="str">
        <v>https://github.com/ShishirPatil/gorilla</v>
      </c>
    </row>
    <row r="11">
      <c r="A11" t="str">
        <v>SWE_BENCH</v>
      </c>
      <c r="B11" t="str">
        <v>SWE-bench Verified</v>
      </c>
      <c r="C11" t="str">
        <v>Cognitive Reasoning &amp; Task Execution</v>
      </c>
      <c r="D11" t="str">
        <v>Software engineering; code task execution; repository-level issue resolution</v>
      </c>
      <c r="E11" t="str">
        <v>Resolution of real GitHub issues in Python repositories</v>
      </c>
      <c r="F11" t="str">
        <v>Official SWE-bench leaderboard</v>
      </c>
      <c r="G11" t="str">
        <v>SWE-bench team</v>
      </c>
      <c r="H11" t="str">
        <v>B</v>
      </c>
      <c r="I11" t="str">
        <v>Green</v>
      </c>
      <c r="J11" t="str">
        <v>Yes</v>
      </c>
      <c r="K11" t="str">
        <v>Scrape</v>
      </c>
      <c r="L11" t="str">
        <v>Maintained leaderboard</v>
      </c>
      <c r="M11" t="str">
        <v>Strong repo-level coding benchmark closer to real engineering than single-file code generation</v>
      </c>
      <c r="N11" t="str">
        <v>Harness differences matter; some third-party reports are self-reported</v>
      </c>
      <c r="O11" t="str">
        <v>https://www.swebench.com/</v>
      </c>
      <c r="P11" t="str">
        <v>https://llm-stats.com/benchmarks/swe-bench-verified</v>
      </c>
    </row>
    <row r="12">
      <c r="A12" t="str">
        <v>LIVECODEBENCH</v>
      </c>
      <c r="B12" t="str">
        <v>LiveCodeBench</v>
      </c>
      <c r="C12" t="str">
        <v>Cognitive Reasoning &amp; Task Execution</v>
      </c>
      <c r="D12" t="str">
        <v>Code task execution; competitive programming; self-repair</v>
      </c>
      <c r="E12" t="str">
        <v>Fresh code generation and self-repair on newly harvested programming problems</v>
      </c>
      <c r="F12" t="str">
        <v>Artificial Analysis evaluation + official leaderboard</v>
      </c>
      <c r="G12" t="str">
        <v>LiveCodeBench / Artificial Analysis</v>
      </c>
      <c r="H12" t="str">
        <v>A</v>
      </c>
      <c r="I12" t="str">
        <v>Green</v>
      </c>
      <c r="J12" t="str">
        <v>Yes</v>
      </c>
      <c r="K12" t="str">
        <v>AA API / scrape</v>
      </c>
      <c r="L12" t="str">
        <v>Rolling benchmark versions</v>
      </c>
      <c r="M12" t="str">
        <v>Fresh and contamination-aware coding benchmark</v>
      </c>
      <c r="N12" t="str">
        <v>Competitive programming is narrower than product engineering</v>
      </c>
      <c r="O12" t="str">
        <v>https://artificialanalysis.ai/evaluations/livecodebench</v>
      </c>
      <c r="P12" t="str">
        <v>https://livecodebench.github.io/leaderboard</v>
      </c>
    </row>
    <row r="13">
      <c r="A13" t="str">
        <v>SCICODE</v>
      </c>
      <c r="B13" t="str">
        <v>SciCode</v>
      </c>
      <c r="C13" t="str">
        <v>Cognitive Reasoning &amp; Task Execution</v>
      </c>
      <c r="D13" t="str">
        <v>Scientific coding; code execution; domain-grounded programming</v>
      </c>
      <c r="E13" t="str">
        <v>Scientist-curated scientific computing tasks from real laboratory problems</v>
      </c>
      <c r="F13" t="str">
        <v>Artificial Analysis evaluation + official leaderboard</v>
      </c>
      <c r="G13" t="str">
        <v>SciCode / Artificial Analysis</v>
      </c>
      <c r="H13" t="str">
        <v>A</v>
      </c>
      <c r="I13" t="str">
        <v>Green</v>
      </c>
      <c r="J13" t="str">
        <v>Yes</v>
      </c>
      <c r="K13" t="str">
        <v>AA API / scrape</v>
      </c>
      <c r="L13" t="str">
        <v>Periodic</v>
      </c>
      <c r="M13" t="str">
        <v>Extends coding beyond programming contests into scientific workflows</v>
      </c>
      <c r="N13" t="str">
        <v>Scientific domain skew; smaller benchmark than generic coding suites</v>
      </c>
      <c r="O13" t="str">
        <v>https://artificialanalysis.ai/evaluations/scicode</v>
      </c>
      <c r="P13" t="str">
        <v>https://scicode-bench.github.io/leaderboard/</v>
      </c>
    </row>
    <row r="14">
      <c r="A14" t="str">
        <v>AA_LCR</v>
      </c>
      <c r="B14" t="str">
        <v>Artificial Analysis Long Context Reasoning (AA-LCR)</v>
      </c>
      <c r="C14" t="str">
        <v>Learning &amp; Generalization</v>
      </c>
      <c r="D14" t="str">
        <v>Long-context utilization; memory generalization; document synthesis</v>
      </c>
      <c r="E14" t="str">
        <v>Extraction, reasoning and synthesis over documents from 10k to 100k tokens</v>
      </c>
      <c r="F14" t="str">
        <v>Artificial Analysis evaluation</v>
      </c>
      <c r="G14" t="str">
        <v>Artificial Analysis</v>
      </c>
      <c r="H14" t="str">
        <v>A</v>
      </c>
      <c r="I14" t="str">
        <v>Green</v>
      </c>
      <c r="J14" t="str">
        <v>Yes</v>
      </c>
      <c r="K14" t="str">
        <v>AA scrape</v>
      </c>
      <c r="L14" t="str">
        <v>Periodic</v>
      </c>
      <c r="M14" t="str">
        <v>Useful long-context benchmark with human-validated question quality</v>
      </c>
      <c r="N14" t="str">
        <v>Still text-only and benchmarked in constrained QA format</v>
      </c>
      <c r="O14" t="str">
        <v>https://artificialanalysis.ai/evaluations/artificial-analysis-long-context-reasoning</v>
      </c>
      <c r="P14" t="str">
        <v>https://huggingface.co/datasets/ArtificialAnalysis/AA-LCR/blob/main/README.md</v>
      </c>
    </row>
    <row r="15">
      <c r="A15" t="str">
        <v>MMLU_PRO_AA</v>
      </c>
      <c r="B15" t="str">
        <v>MMLU-Pro</v>
      </c>
      <c r="C15" t="str">
        <v>Learning &amp; Generalization</v>
      </c>
      <c r="D15" t="str">
        <v>Cross-domain knowledge transfer; broad reasoning</v>
      </c>
      <c r="E15" t="str">
        <v>Graduate-level questions across many subjects with harder answer options than classic MMLU</v>
      </c>
      <c r="F15" t="str">
        <v>Artificial Analysis evaluation</v>
      </c>
      <c r="G15" t="str">
        <v>Artificial Analysis / TIGER-Lab</v>
      </c>
      <c r="H15" t="str">
        <v>A</v>
      </c>
      <c r="I15" t="str">
        <v>Green</v>
      </c>
      <c r="J15" t="str">
        <v>Yes</v>
      </c>
      <c r="K15" t="str">
        <v>AA API / scrape</v>
      </c>
      <c r="L15" t="str">
        <v>Periodic</v>
      </c>
      <c r="M15" t="str">
        <v>Broad but still challenging academic coverage</v>
      </c>
      <c r="N15" t="str">
        <v>High correlation with academic knowledge; less direct on action or safety</v>
      </c>
      <c r="O15" t="str">
        <v>https://artificialanalysis.ai/evaluations/mmlu-pro</v>
      </c>
      <c r="P15" t="str">
        <v>https://huggingface.co/spaces/TIGER-Lab/MMLU-Pro</v>
      </c>
    </row>
    <row r="16">
      <c r="A16" t="str">
        <v>GLOBAL_MMLU_LITE_AA</v>
      </c>
      <c r="B16" t="str">
        <v>Global-MMLU-Lite</v>
      </c>
      <c r="C16" t="str">
        <v>Learning &amp; Generalization</v>
      </c>
      <c r="D16" t="str">
        <v>Multilingual generalization; cross-lingual transfer</v>
      </c>
      <c r="E16" t="str">
        <v>Knowledge and reasoning across a diverse set of languages</v>
      </c>
      <c r="F16" t="str">
        <v>Artificial Analysis evaluation</v>
      </c>
      <c r="G16" t="str">
        <v>Artificial Analysis</v>
      </c>
      <c r="H16" t="str">
        <v>A</v>
      </c>
      <c r="I16" t="str">
        <v>Green</v>
      </c>
      <c r="J16" t="str">
        <v>Yes</v>
      </c>
      <c r="K16" t="str">
        <v>AA scrape</v>
      </c>
      <c r="L16" t="str">
        <v>Periodic</v>
      </c>
      <c r="M16" t="str">
        <v>Good multilingual augmentation to an otherwise English-centric tracker</v>
      </c>
      <c r="N16" t="str">
        <v>Lightweight benchmark; should not stand alone for multilingual competence</v>
      </c>
      <c r="O16" t="str">
        <v>https://artificialanalysis.ai/evaluations/global-mmlu-lite</v>
      </c>
      <c r="P16" t="str">
        <v>https://llm-stats.com/benchmarks/global-mmlu-lite</v>
      </c>
    </row>
    <row r="17">
      <c r="A17" t="str">
        <v>OPEN_LLM_LB</v>
      </c>
      <c r="B17" t="str">
        <v>Open LLM Leaderboard v2</v>
      </c>
      <c r="C17" t="str">
        <v>Learning &amp; Generalization</v>
      </c>
      <c r="D17" t="str">
        <v>Few-shot evaluation mix; open-model comparability</v>
      </c>
      <c r="E17" t="str">
        <v>Composite open-model evaluation including IFEval, GPQA, MATH, MUSR and MMLU-Pro</v>
      </c>
      <c r="F17" t="str">
        <v>Official Hugging Face leaderboard</v>
      </c>
      <c r="G17" t="str">
        <v>Hugging Face / Open LLM Leaderboard</v>
      </c>
      <c r="H17" t="str">
        <v>B</v>
      </c>
      <c r="I17" t="str">
        <v>Yellow</v>
      </c>
      <c r="J17" t="str">
        <v>Yes</v>
      </c>
      <c r="K17" t="str">
        <v>HF dataset / scrape</v>
      </c>
      <c r="L17" t="str">
        <v>Active</v>
      </c>
      <c r="M17" t="str">
        <v>Useful for open-model coverage and easy to ingest</v>
      </c>
      <c r="N17" t="str">
        <v>Only open models; composite mix is not a clean single-capability signal</v>
      </c>
      <c r="O17" t="str">
        <v>https://open-llm-leaderboard-open-llm-leaderboard.hf.space/</v>
      </c>
      <c r="P17" t="str">
        <v>https://huggingface.co/open-llm-leaderboard</v>
      </c>
    </row>
    <row r="18">
      <c r="A18" t="str">
        <v>AA_OMNI</v>
      </c>
      <c r="B18" t="str">
        <v>AA-Omniscience</v>
      </c>
      <c r="C18" t="str">
        <v>Epistemic Reliability &amp; Truthfulness</v>
      </c>
      <c r="D18" t="str">
        <v>Factual accuracy; hallucination resistance; abstention-aware reliability</v>
      </c>
      <c r="E18" t="str">
        <v>Cross-domain factual recall, hallucination and abstention behavior across 6,000 questions</v>
      </c>
      <c r="F18" t="str">
        <v>Artificial Analysis evaluation</v>
      </c>
      <c r="G18" t="str">
        <v>Artificial Analysis</v>
      </c>
      <c r="H18" t="str">
        <v>A</v>
      </c>
      <c r="I18" t="str">
        <v>Green</v>
      </c>
      <c r="J18" t="str">
        <v>Yes</v>
      </c>
      <c r="K18" t="str">
        <v>AA scrape</v>
      </c>
      <c r="L18" t="str">
        <v>Periodic</v>
      </c>
      <c r="M18" t="str">
        <v>Best current public benchmark in this list for factual reliability plus abstention</v>
      </c>
      <c r="N18" t="str">
        <v>Question-answer format still cannot capture all long-form factuality failure modes</v>
      </c>
      <c r="O18" t="str">
        <v>https://artificialanalysis.ai/evaluations/omniscience</v>
      </c>
      <c r="P18" t="str">
        <v>https://huggingface.co/ArtificialAnalysis/AA-Omniscience-Public</v>
      </c>
    </row>
    <row r="19">
      <c r="A19" t="str">
        <v>SIMPLEQA</v>
      </c>
      <c r="B19" t="str">
        <v>SimpleQA</v>
      </c>
      <c r="C19" t="str">
        <v>Epistemic Reliability &amp; Truthfulness</v>
      </c>
      <c r="D19" t="str">
        <v>Short-form factual accuracy</v>
      </c>
      <c r="E19" t="str">
        <v>Short, fact-seeking questions with single verifiable answers</v>
      </c>
      <c r="F19" t="str">
        <v>Kaggle / third-party benchmark pages</v>
      </c>
      <c r="G19" t="str">
        <v>OpenAI benchmark / third-party leaderboard hosts</v>
      </c>
      <c r="H19" t="str">
        <v>C</v>
      </c>
      <c r="I19" t="str">
        <v>Yellow</v>
      </c>
      <c r="J19" t="str">
        <v>Partial</v>
      </c>
      <c r="K19" t="str">
        <v>Manual / scrape</v>
      </c>
      <c r="L19" t="str">
        <v>Varies by host</v>
      </c>
      <c r="M19" t="str">
        <v>Clear factuality measure and widely cited</v>
      </c>
      <c r="N19" t="str">
        <v>No single canonical, stable public cross-model leaderboard</v>
      </c>
      <c r="O19" t="str">
        <v>https://openai.com/index/introducing-simpleqa/</v>
      </c>
      <c r="P19" t="str">
        <v>https://www.kaggle.com/benchmarks/openai/simpleqa</v>
      </c>
    </row>
    <row r="20">
      <c r="A20" t="str">
        <v>TRUTHFULQA</v>
      </c>
      <c r="B20" t="str">
        <v>TruthfulQA</v>
      </c>
      <c r="C20" t="str">
        <v>Epistemic Reliability &amp; Truthfulness</v>
      </c>
      <c r="D20" t="str">
        <v>Factual honesty; resistance to common misconceptions</v>
      </c>
      <c r="E20" t="str">
        <v>Whether models avoid falsehoods that humans commonly believe</v>
      </c>
      <c r="F20" t="str">
        <v>Benchmark/dataset pages, scattered leaderboards</v>
      </c>
      <c r="G20" t="str">
        <v>TruthfulQA paper ecosystem</v>
      </c>
      <c r="H20" t="str">
        <v>C</v>
      </c>
      <c r="I20" t="str">
        <v>Yellow</v>
      </c>
      <c r="J20" t="str">
        <v>Partial</v>
      </c>
      <c r="K20" t="str">
        <v>Manual</v>
      </c>
      <c r="L20" t="str">
        <v>Sparse</v>
      </c>
      <c r="M20" t="str">
        <v>Still useful as an honesty / misconception stress test</v>
      </c>
      <c r="N20" t="str">
        <v>Aging benchmark and weak as sole truthfulness anchor</v>
      </c>
      <c r="O20" t="str">
        <v>https://github.com/sylinrl/TruthfulQA</v>
      </c>
      <c r="P20" t="str">
        <v>https://llm-stats.com/benchmarks</v>
      </c>
    </row>
    <row r="21">
      <c r="A21" t="str">
        <v>ALCE</v>
      </c>
      <c r="B21" t="str">
        <v>ALCE</v>
      </c>
      <c r="C21" t="str">
        <v>Epistemic Reliability &amp; Truthfulness</v>
      </c>
      <c r="D21" t="str">
        <v>Citation accuracy; evidence correctness</v>
      </c>
      <c r="E21" t="str">
        <v>Whether answers are supported by cited evidence</v>
      </c>
      <c r="F21" t="str">
        <v>Paper / code rather than maintained public leaderboard</v>
      </c>
      <c r="G21" t="str">
        <v>ALCE authors</v>
      </c>
      <c r="H21" t="str">
        <v>D</v>
      </c>
      <c r="I21" t="str">
        <v>Red</v>
      </c>
      <c r="J21" t="str">
        <v>No</v>
      </c>
      <c r="K21" t="str">
        <v>None / internal eval needed</v>
      </c>
      <c r="L21" t="str">
        <v>N/A</v>
      </c>
      <c r="M21" t="str">
        <v>Good construct for citation correctness</v>
      </c>
      <c r="N21" t="str">
        <v>No realistic public leaderboard to ingest today</v>
      </c>
      <c r="O21" t="str">
        <v>https://github.com/princeton-nlp/ALCE</v>
      </c>
      <c r="P21" t="str">
        <v>https://arxiv.org/abs/2305.14627</v>
      </c>
    </row>
    <row r="22">
      <c r="A22" t="str">
        <v>VECTARA_HHEM</v>
      </c>
      <c r="B22" t="str">
        <v>Vectara Hallucination Leaderboard (HHEM)</v>
      </c>
      <c r="C22" t="str">
        <v>Epistemic Reliability &amp; Truthfulness</v>
      </c>
      <c r="D22" t="str">
        <v>Hallucination resistance in summarization</v>
      </c>
      <c r="E22" t="str">
        <v>How often models inject unsupported information when summarizing documents</v>
      </c>
      <c r="F22" t="str">
        <v>Official Vectara GitHub + Hugging Face leaderboard</v>
      </c>
      <c r="G22" t="str">
        <v>Vectara</v>
      </c>
      <c r="H22" t="str">
        <v>B</v>
      </c>
      <c r="I22" t="str">
        <v>Green</v>
      </c>
      <c r="J22" t="str">
        <v>Yes</v>
      </c>
      <c r="K22" t="str">
        <v>GitHub / HF data</v>
      </c>
      <c r="L22" t="str">
        <v>Regular</v>
      </c>
      <c r="M22" t="str">
        <v>Independent, public and maintained hallucination leaderboard</v>
      </c>
      <c r="N22" t="str">
        <v>Specific to summarization-style factuality, not general QA</v>
      </c>
      <c r="O22" t="str">
        <v>https://github.com/vectara/hallucination-leaderboard/</v>
      </c>
      <c r="P22" t="str">
        <v>https://huggingface.co/spaces/vectara/leaderboard</v>
      </c>
    </row>
    <row r="23">
      <c r="A23" t="str">
        <v>CRAG</v>
      </c>
      <c r="B23" t="str">
        <v>CRAG / RAG-style factual QA</v>
      </c>
      <c r="C23" t="str">
        <v>Epistemic Reliability &amp; Truthfulness</v>
      </c>
      <c r="D23" t="str">
        <v>Retrieval-grounded faithfulness; grounded answer quality</v>
      </c>
      <c r="E23" t="str">
        <v>Question answering with retrieved context across domains</v>
      </c>
      <c r="F23" t="str">
        <v>Third-party benchmark pages</v>
      </c>
      <c r="G23" t="str">
        <v>CRAG benchmark / third-party hosts</v>
      </c>
      <c r="H23" t="str">
        <v>C</v>
      </c>
      <c r="I23" t="str">
        <v>Yellow</v>
      </c>
      <c r="J23" t="str">
        <v>Partial</v>
      </c>
      <c r="K23" t="str">
        <v>Manual / scrape</v>
      </c>
      <c r="L23" t="str">
        <v>Limited</v>
      </c>
      <c r="M23" t="str">
        <v>Good proxy for source-grounded generation</v>
      </c>
      <c r="N23" t="str">
        <v>Model coverage is sparse and not a universal leaderboard</v>
      </c>
      <c r="O23" t="str">
        <v>https://llm-stats.com/benchmarks/crag</v>
      </c>
      <c r="P23" t="str">
        <v>https://huggingface.co/spaces/ai-forever/rag-leaderboard</v>
      </c>
    </row>
    <row r="24">
      <c r="A24" t="str">
        <v>ABSTENTIONBENCH</v>
      </c>
      <c r="B24" t="str">
        <v>AbstentionBench</v>
      </c>
      <c r="C24" t="str">
        <v>Metacognition / Ethical Discernment</v>
      </c>
      <c r="D24" t="str">
        <v>Abstention quality; selective answering</v>
      </c>
      <c r="E24" t="str">
        <v>When a model should refuse to answer due to underspecification or uncertainty</v>
      </c>
      <c r="F24" t="str">
        <v>Code / dataset only</v>
      </c>
      <c r="G24" t="str">
        <v>Meta research</v>
      </c>
      <c r="H24" t="str">
        <v>D</v>
      </c>
      <c r="I24" t="str">
        <v>Red</v>
      </c>
      <c r="J24" t="str">
        <v>No</v>
      </c>
      <c r="K24" t="str">
        <v>None / internal eval needed</v>
      </c>
      <c r="L24" t="str">
        <v>N/A</v>
      </c>
      <c r="M24" t="str">
        <v>Very relevant construct for AGI-style reliability</v>
      </c>
      <c r="N24" t="str">
        <v>No maintained public leaderboard found</v>
      </c>
      <c r="O24" t="str">
        <v>https://github.com/facebookresearch/AbstentionBench</v>
      </c>
      <c r="P24" t="str">
        <v>https://arxiv.org/abs/2506.09038</v>
      </c>
    </row>
    <row r="25">
      <c r="A25" t="str">
        <v>CORRECTBENCH</v>
      </c>
      <c r="B25" t="str">
        <v>CorrectBench</v>
      </c>
      <c r="C25" t="str">
        <v>Metacognition / Ethical Discernment</v>
      </c>
      <c r="D25" t="str">
        <v>Self-correction after feedback</v>
      </c>
      <c r="E25" t="str">
        <v>Whether models can repair mistakes after critique or verification</v>
      </c>
      <c r="F25" t="str">
        <v>Official benchmark page</v>
      </c>
      <c r="G25" t="str">
        <v>CorrectBench authors</v>
      </c>
      <c r="H25" t="str">
        <v>C</v>
      </c>
      <c r="I25" t="str">
        <v>Yellow</v>
      </c>
      <c r="J25" t="str">
        <v>Partial</v>
      </c>
      <c r="K25" t="str">
        <v>Manual / scrape if page exposes results</v>
      </c>
      <c r="L25" t="str">
        <v>Unclear</v>
      </c>
      <c r="M25" t="str">
        <v>Directly relevant to self-repair</v>
      </c>
      <c r="N25" t="str">
        <v>No broadly adopted cross-model maintained leaderboard yet</v>
      </c>
      <c r="O25" t="str">
        <v>https://correctbench.github.io/</v>
      </c>
      <c r="P25" t="str">
        <v>https://arxiv.org/abs/2503.13266</v>
      </c>
    </row>
    <row r="26">
      <c r="A26" t="str">
        <v>SOCIALIQA</v>
      </c>
      <c r="B26" t="str">
        <v>SocialIQA</v>
      </c>
      <c r="C26" t="str">
        <v>Social Interaction Competence</v>
      </c>
      <c r="D26" t="str">
        <v>User modeling; social commonsense</v>
      </c>
      <c r="E26" t="str">
        <v>Intent, norms and emotions in everyday situations</v>
      </c>
      <c r="F26" t="str">
        <v>Dataset page more than live leaderboard</v>
      </c>
      <c r="G26" t="str">
        <v>AI2 / AllenAI</v>
      </c>
      <c r="H26" t="str">
        <v>D</v>
      </c>
      <c r="I26" t="str">
        <v>Red</v>
      </c>
      <c r="J26" t="str">
        <v>No stable live leaderboard</v>
      </c>
      <c r="K26" t="str">
        <v>Internal eval recommended</v>
      </c>
      <c r="L26" t="str">
        <v>N/A</v>
      </c>
      <c r="M26" t="str">
        <v>Relevant for social commonsense</v>
      </c>
      <c r="N26" t="str">
        <v>Not enough as an interaction benchmark and no maintained leaderboard</v>
      </c>
      <c r="O26" t="str">
        <v>https://huggingface.co/datasets/allenai/social_i_qa</v>
      </c>
      <c r="P26" t="str">
        <v>https://leaderboard.allenai.org/socialiqa/submissions/public</v>
      </c>
    </row>
    <row r="27">
      <c r="A27" t="str">
        <v>FANTOM</v>
      </c>
      <c r="B27" t="str">
        <v>FANToM</v>
      </c>
      <c r="C27" t="str">
        <v>Social Interaction Competence</v>
      </c>
      <c r="D27" t="str">
        <v>Theory of mind; perspective taking</v>
      </c>
      <c r="E27" t="str">
        <v>Mental-state reasoning in information-asymmetric conversations</v>
      </c>
      <c r="F27" t="str">
        <v>Paper / dataset</v>
      </c>
      <c r="G27" t="str">
        <v>FANToM authors</v>
      </c>
      <c r="H27" t="str">
        <v>D</v>
      </c>
      <c r="I27" t="str">
        <v>Red</v>
      </c>
      <c r="J27" t="str">
        <v>No</v>
      </c>
      <c r="K27" t="str">
        <v>Internal eval needed</v>
      </c>
      <c r="L27" t="str">
        <v>N/A</v>
      </c>
      <c r="M27" t="str">
        <v>Best conceptual fit for theory-of-mind capability</v>
      </c>
      <c r="N27" t="str">
        <v>No maintained leaderboard found</v>
      </c>
      <c r="O27" t="str">
        <v>https://arxiv.org/abs/2310.15421</v>
      </c>
      <c r="P27" t="str">
        <v>https://github.com/stevenxcao/fantom</v>
      </c>
    </row>
    <row r="28">
      <c r="A28" t="str">
        <v>EQ_BENCH_3</v>
      </c>
      <c r="B28" t="str">
        <v>EQ-Bench 3</v>
      </c>
      <c r="C28" t="str">
        <v>Social Interaction Competence</v>
      </c>
      <c r="D28" t="str">
        <v>Emotion handling; empathy; social dexterity</v>
      </c>
      <c r="E28" t="str">
        <v>Pairwise judged emotional intelligence across eight dimensions</v>
      </c>
      <c r="F28" t="str">
        <v>Official EQ-Bench 3 leaderboard</v>
      </c>
      <c r="G28" t="str">
        <v>EQ-Bench</v>
      </c>
      <c r="H28" t="str">
        <v>B</v>
      </c>
      <c r="I28" t="str">
        <v>Green</v>
      </c>
      <c r="J28" t="str">
        <v>Yes</v>
      </c>
      <c r="K28" t="str">
        <v>Scrape</v>
      </c>
      <c r="L28" t="str">
        <v>Maintained</v>
      </c>
      <c r="M28" t="str">
        <v>One of the few maintained public social/emotional leaderboards</v>
      </c>
      <c r="N28" t="str">
        <v>LLM-judge and style sensitivity can bias results</v>
      </c>
      <c r="O28" t="str">
        <v>https://eqbench.com/</v>
      </c>
      <c r="P28" t="str">
        <v>https://eqbench.com/leaderboard</v>
      </c>
    </row>
    <row r="29">
      <c r="A29" t="str">
        <v>MMMU_PRO_AA</v>
      </c>
      <c r="B29" t="str">
        <v>MMMU-Pro</v>
      </c>
      <c r="C29" t="str">
        <v>Multimodal Understanding</v>
      </c>
      <c r="D29" t="str">
        <v>Multimodal reasoning; image-text understanding; academic VLM reasoning</v>
      </c>
      <c r="E29" t="str">
        <v>Harder multimodal understanding across 30 academic disciplines</v>
      </c>
      <c r="F29" t="str">
        <v>Artificial Analysis evaluation</v>
      </c>
      <c r="G29" t="str">
        <v>Artificial Analysis / MMMU-Pro authors</v>
      </c>
      <c r="H29" t="str">
        <v>A</v>
      </c>
      <c r="I29" t="str">
        <v>Green</v>
      </c>
      <c r="J29" t="str">
        <v>Yes</v>
      </c>
      <c r="K29" t="str">
        <v>AA scrape</v>
      </c>
      <c r="L29" t="str">
        <v>Periodic</v>
      </c>
      <c r="M29" t="str">
        <v>Strong current anchor for multimodal reasoning</v>
      </c>
      <c r="N29" t="str">
        <v>Academic visual reasoning is not the whole multimodal space</v>
      </c>
      <c r="O29" t="str">
        <v>https://artificialanalysis.ai/evaluations/mmmu-pro</v>
      </c>
      <c r="P29" t="str">
        <v>https://mmmu-benchmark.github.io/</v>
      </c>
    </row>
    <row r="30">
      <c r="A30" t="str">
        <v>MMBENCH</v>
      </c>
      <c r="B30" t="str">
        <v>MMBench</v>
      </c>
      <c r="C30" t="str">
        <v>Multimodal Understanding</v>
      </c>
      <c r="D30" t="str">
        <v>General multimodal perception; image question answering; cross-modal grounding</v>
      </c>
      <c r="E30" t="str">
        <v>Broad bilingual multimodal understanding tasks</v>
      </c>
      <c r="F30" t="str">
        <v>Official OpenCompass Hugging Face space</v>
      </c>
      <c r="G30" t="str">
        <v>OpenCompass</v>
      </c>
      <c r="H30" t="str">
        <v>B</v>
      </c>
      <c r="I30" t="str">
        <v>Yellow</v>
      </c>
      <c r="J30" t="str">
        <v>Yes, but current HF space may be paused</v>
      </c>
      <c r="K30" t="str">
        <v>Scrape / HF data</v>
      </c>
      <c r="L30" t="str">
        <v>Variable</v>
      </c>
      <c r="M30" t="str">
        <v>Useful broad multimodal complement to MMMU-Pro</v>
      </c>
      <c r="N30" t="str">
        <v>Operational reliability of the public leaderboard is weaker than AA</v>
      </c>
      <c r="O30" t="str">
        <v>https://huggingface.co/spaces/opencompass/MMBench</v>
      </c>
      <c r="P30" t="str">
        <v>https://mmbench.opencompass.org.cn/leaderboard</v>
      </c>
    </row>
    <row r="31">
      <c r="A31" t="str">
        <v>VISUAL_MATHS</v>
      </c>
      <c r="B31" t="str">
        <v>Visual Maths Benchmark</v>
      </c>
      <c r="C31" t="str">
        <v>Multimodal Understanding</v>
      </c>
      <c r="D31" t="str">
        <v>Visual quantitative reasoning; diagram and chart math</v>
      </c>
      <c r="E31" t="str">
        <v>Mathematical reasoning in visual contexts</v>
      </c>
      <c r="F31" t="str">
        <v>Project leaderboard</v>
      </c>
      <c r="G31" t="str">
        <v>AI for Education / benchmark authors</v>
      </c>
      <c r="H31" t="str">
        <v>C</v>
      </c>
      <c r="I31" t="str">
        <v>Yellow</v>
      </c>
      <c r="J31" t="str">
        <v>Partial</v>
      </c>
      <c r="K31" t="str">
        <v>Manual / scrape</v>
      </c>
      <c r="L31" t="str">
        <v>Limited</v>
      </c>
      <c r="M31" t="str">
        <v>Good focused signal for visual math and chart reasoning</v>
      </c>
      <c r="N31" t="str">
        <v>Narrow slice and limited model coverage</v>
      </c>
      <c r="O31" t="str">
        <v>https://visualmaths.github.io/</v>
      </c>
      <c r="P31" t="str">
        <v>https://ai-for-education.org/visual-maths-benchmark</v>
      </c>
    </row>
    <row r="32">
      <c r="A32" t="str">
        <v>AA_TEXT2IMAGE</v>
      </c>
      <c r="B32" t="str">
        <v>Artificial Analysis Text-to-Image Leaderboard</v>
      </c>
      <c r="C32" t="str">
        <v>Multimodal Understanding</v>
      </c>
      <c r="D32" t="str">
        <v>Multimodal generation</v>
      </c>
      <c r="E32" t="str">
        <v>Pairwise ELO for text-to-image quality, with category breakdowns via API</v>
      </c>
      <c r="F32" t="str">
        <v>Artificial Analysis API + leaderboard</v>
      </c>
      <c r="G32" t="str">
        <v>Artificial Analysis</v>
      </c>
      <c r="H32" t="str">
        <v>A</v>
      </c>
      <c r="I32" t="str">
        <v>Green</v>
      </c>
      <c r="J32" t="str">
        <v>Yes</v>
      </c>
      <c r="K32" t="str">
        <v>AA API</v>
      </c>
      <c r="L32" t="str">
        <v>Frequent</v>
      </c>
      <c r="M32" t="str">
        <v>Direct structured public source for image generation capability</v>
      </c>
      <c r="N32" t="str">
        <v>Generation quality is a different construct from understanding</v>
      </c>
      <c r="O32" t="str">
        <v>https://artificialanalysis.ai/image/leaderboard/text-to-image</v>
      </c>
      <c r="P32" t="str">
        <v>https://artificialanalysis.ai/api-reference</v>
      </c>
    </row>
    <row r="33">
      <c r="A33" t="str">
        <v>IFBENCH_AA</v>
      </c>
      <c r="B33" t="str">
        <v>IFBench</v>
      </c>
      <c r="C33" t="str">
        <v>Safety &amp; Controllability</v>
      </c>
      <c r="D33" t="str">
        <v>Steerability; constraint adherence; precise instruction following</v>
      </c>
      <c r="E33" t="str">
        <v>Generalization on verifiable out-of-domain output constraints</v>
      </c>
      <c r="F33" t="str">
        <v>Artificial Analysis evaluation</v>
      </c>
      <c r="G33" t="str">
        <v>Artificial Analysis / IFBench authors</v>
      </c>
      <c r="H33" t="str">
        <v>A</v>
      </c>
      <c r="I33" t="str">
        <v>Green</v>
      </c>
      <c r="J33" t="str">
        <v>Yes</v>
      </c>
      <c r="K33" t="str">
        <v>AA scrape</v>
      </c>
      <c r="L33" t="str">
        <v>Periodic</v>
      </c>
      <c r="M33" t="str">
        <v>Strong current public benchmark for steerability and controllability</v>
      </c>
      <c r="N33" t="str">
        <v>Instruction following is not the whole safety stack</v>
      </c>
      <c r="O33" t="str">
        <v>https://artificialanalysis.ai/evaluations/ifbench</v>
      </c>
      <c r="P33" t="str">
        <v>https://llm-stats.com/benchmarks/ifeval</v>
      </c>
    </row>
    <row r="34">
      <c r="A34" t="str">
        <v>JAILBREAKBENCH</v>
      </c>
      <c r="B34" t="str">
        <v>JailbreakBench</v>
      </c>
      <c r="C34" t="str">
        <v>Safety &amp; Controllability</v>
      </c>
      <c r="D34" t="str">
        <v>Jailbreak resistance; adversarial robustness</v>
      </c>
      <c r="E34" t="str">
        <v>Resistance to jailbreak attacks and standardized evaluation of attack/defense setups</v>
      </c>
      <c r="F34" t="str">
        <v>Official benchmark site</v>
      </c>
      <c r="G34" t="str">
        <v>JailbreakBench authors</v>
      </c>
      <c r="H34" t="str">
        <v>C</v>
      </c>
      <c r="I34" t="str">
        <v>Yellow</v>
      </c>
      <c r="J34" t="str">
        <v>Partial</v>
      </c>
      <c r="K34" t="str">
        <v>Manual / scrape</v>
      </c>
      <c r="L34" t="str">
        <v>Research updates</v>
      </c>
      <c r="M34" t="str">
        <v>Important public benchmark in jailbreak evaluation</v>
      </c>
      <c r="N34" t="str">
        <v>Creators themselves note the landscape is fragmented and harm judgments are not yet standardized</v>
      </c>
      <c r="O34" t="str">
        <v>https://jailbreakbench.github.io/</v>
      </c>
      <c r="P34" t="str">
        <v>https://github.com/JailbreakBench/jailbreakbench</v>
      </c>
    </row>
    <row r="35">
      <c r="A35" t="str">
        <v>HARMBENCH</v>
      </c>
      <c r="B35" t="str">
        <v>HarmBench</v>
      </c>
      <c r="C35" t="str">
        <v>Safety &amp; Controllability</v>
      </c>
      <c r="D35" t="str">
        <v>Harmfulness prevention; refusal behavior</v>
      </c>
      <c r="E35" t="str">
        <v>Automated red teaming and harmful request refusal</v>
      </c>
      <c r="F35" t="str">
        <v>Official results page / codebase</v>
      </c>
      <c r="G35" t="str">
        <v>Center for AI Safety</v>
      </c>
      <c r="H35" t="str">
        <v>C</v>
      </c>
      <c r="I35" t="str">
        <v>Yellow</v>
      </c>
      <c r="J35" t="str">
        <v>Partial</v>
      </c>
      <c r="K35" t="str">
        <v>Manual / scrape</v>
      </c>
      <c r="L35" t="str">
        <v>Research updates</v>
      </c>
      <c r="M35" t="str">
        <v>Well-known benchmark for harmful output evaluation</v>
      </c>
      <c r="N35" t="str">
        <v>Not a live broad leaderboard across all frontier models</v>
      </c>
      <c r="O35" t="str">
        <v>https://www.harmbench.org/results</v>
      </c>
      <c r="P35" t="str">
        <v>https://github.com/centerforaisafety/HarmBench</v>
      </c>
    </row>
    <row r="36">
      <c r="A36" t="str">
        <v>GRAYSWAN_PII</v>
      </c>
      <c r="B36" t="str">
        <v>Gray Swan Indirect Prompt Injection Arena</v>
      </c>
      <c r="C36" t="str">
        <v>Safety &amp; Controllability</v>
      </c>
      <c r="D36" t="str">
        <v>Prompt injection robustness</v>
      </c>
      <c r="E36" t="str">
        <v>Break rates on indirect prompt injection challenges for tool/computer/coding agents</v>
      </c>
      <c r="F36" t="str">
        <v>Gray Swan Arena</v>
      </c>
      <c r="G36" t="str">
        <v>Gray Swan AI</v>
      </c>
      <c r="H36" t="str">
        <v>C</v>
      </c>
      <c r="I36" t="str">
        <v>Yellow</v>
      </c>
      <c r="J36" t="str">
        <v>Yes</v>
      </c>
      <c r="K36" t="str">
        <v>Scrape / manual</v>
      </c>
      <c r="L36" t="str">
        <v>Challenge waves</v>
      </c>
      <c r="M36" t="str">
        <v>One of the few live public prompt-injection leaderboards</v>
      </c>
      <c r="N36" t="str">
        <v>Challenge-style arena, not yet a stable standardized benchmark for tracker core scoring</v>
      </c>
      <c r="O36" t="str">
        <v>https://app.grayswan.ai/arena/challenge/indirect-prompt-injection-q1-2026/leaderboard</v>
      </c>
      <c r="P36" t="str">
        <v>https://github.com/directivecommons/prompt-injection-benchmark</v>
      </c>
    </row>
    <row r="37">
      <c r="A37" t="str">
        <v>AGENTHARM</v>
      </c>
      <c r="B37" t="str">
        <v>AgentHarm</v>
      </c>
      <c r="C37" t="str">
        <v>Safety &amp; Controllability</v>
      </c>
      <c r="D37" t="str">
        <v>Misuse resistance; harmful agent behavior prevention</v>
      </c>
      <c r="E37" t="str">
        <v>Whether agent systems enable harmful tasks across many misuse categories</v>
      </c>
      <c r="F37" t="str">
        <v>Benchmark registry pages / paper</v>
      </c>
      <c r="G37" t="str">
        <v>UK AISI / Meta / AgentHarm authors</v>
      </c>
      <c r="H37" t="str">
        <v>C</v>
      </c>
      <c r="I37" t="str">
        <v>Yellow</v>
      </c>
      <c r="J37" t="str">
        <v>Partial / benchmark registry only</v>
      </c>
      <c r="K37" t="str">
        <v>Manual</v>
      </c>
      <c r="L37" t="str">
        <v>Limited</v>
      </c>
      <c r="M37" t="str">
        <v>Best conceptual fit for harmful agent misuse</v>
      </c>
      <c r="N37" t="str">
        <v>Not yet a stable public leaderboard suitable as core ingest source</v>
      </c>
      <c r="O37" t="str">
        <v>https://leaderboard.steel.dev/registry/benchmarks/agentharm</v>
      </c>
      <c r="P37" t="str">
        <v>https://arxiv.org/abs/2410.09024</v>
      </c>
    </row>
    <row r="38">
      <c r="A38" t="str">
        <v>MTEB</v>
      </c>
      <c r="B38" t="str">
        <v>MTEB Leaderboard</v>
      </c>
      <c r="C38" t="str">
        <v>Multimodal Understanding</v>
      </c>
      <c r="D38" t="str">
        <v>Retrieval support; embedding quality; multilingual retrieval</v>
      </c>
      <c r="E38" t="str">
        <v>Text and multimodal embedding performance across tasks</v>
      </c>
      <c r="F38" t="str">
        <v>Official Hugging Face MTEB leaderboard</v>
      </c>
      <c r="G38" t="str">
        <v>MTEB</v>
      </c>
      <c r="H38" t="str">
        <v>B</v>
      </c>
      <c r="I38" t="str">
        <v>Green</v>
      </c>
      <c r="J38" t="str">
        <v>Yes</v>
      </c>
      <c r="K38" t="str">
        <v>HF dataset / scrape</v>
      </c>
      <c r="L38" t="str">
        <v>Maintained</v>
      </c>
      <c r="M38" t="str">
        <v>Useful if tracker later expands into retrieval-backed systems</v>
      </c>
      <c r="N38" t="str">
        <v>Embedding models are adjacent to, not the same as, core model cognition</v>
      </c>
      <c r="O38" t="str">
        <v>https://huggingface.co/spaces/mteb/leaderboard</v>
      </c>
      <c r="P38" t="str">
        <v>https://huggingface.co/collections/mteb/leaderboard</v>
      </c>
    </row>
    <row r="39">
      <c r="A39" t="str">
        <v>WEBARENA_VERIFIED</v>
      </c>
      <c r="B39" t="str">
        <v>WebArena-Verified</v>
      </c>
      <c r="C39" t="str">
        <v>Cognitive Reasoning &amp; Task Execution</v>
      </c>
      <c r="D39" t="str">
        <v>Web navigation; browser-based task execution</v>
      </c>
      <c r="E39" t="str">
        <v>Deterministic evaluation of web-agent tasks with captured traces</v>
      </c>
      <c r="F39" t="str">
        <v>Dataset/tooling, not a central live leaderboard</v>
      </c>
      <c r="G39" t="str">
        <v>ServiceNow</v>
      </c>
      <c r="H39" t="str">
        <v>C</v>
      </c>
      <c r="I39" t="str">
        <v>Yellow</v>
      </c>
      <c r="J39" t="str">
        <v>No stable central leaderboard</v>
      </c>
      <c r="K39" t="str">
        <v>Internal eval preferred</v>
      </c>
      <c r="L39" t="str">
        <v>N/A</v>
      </c>
      <c r="M39" t="str">
        <v>Important for browser-agent evaluation</v>
      </c>
      <c r="N39" t="str">
        <v>Great benchmark, weak as public ingestion source today</v>
      </c>
      <c r="O39" t="str">
        <v>https://github.com/ServiceNow/webarena-verified</v>
      </c>
      <c r="P39" t="str">
        <v>https://webarena.dev/</v>
      </c>
    </row>
    <row r="40">
      <c r="A40" t="str">
        <v>BROWSECOMP</v>
      </c>
      <c r="B40" t="str">
        <v>BrowseComp</v>
      </c>
      <c r="C40" t="str">
        <v>Cognitive Reasoning &amp; Task Execution</v>
      </c>
      <c r="D40" t="str">
        <v>Browsing research; information seeking; web reasoning</v>
      </c>
      <c r="E40" t="str">
        <v>Ability to browse the web and return short verifiable answers</v>
      </c>
      <c r="F40" t="str">
        <v>OpenAI benchmark + Kaggle / third-party pages</v>
      </c>
      <c r="G40" t="str">
        <v>OpenAI benchmark ecosystem</v>
      </c>
      <c r="H40" t="str">
        <v>C</v>
      </c>
      <c r="I40" t="str">
        <v>Yellow</v>
      </c>
      <c r="J40" t="str">
        <v>Partial</v>
      </c>
      <c r="K40" t="str">
        <v>Manual / scrape</v>
      </c>
      <c r="L40" t="str">
        <v>Varies</v>
      </c>
      <c r="M40" t="str">
        <v>Good targeted browsing benchmark</v>
      </c>
      <c r="N40" t="str">
        <v>No single official live leaderboard to rely on as primary source</v>
      </c>
      <c r="O40" t="str">
        <v>https://openai.com/index/browsecomp/</v>
      </c>
      <c r="P40" t="str">
        <v>https://www.kaggle.com/benchmarks/openai/browsecomp</v>
      </c>
    </row>
    <row r="41">
      <c r="A41" t="str">
        <v>CRITPT</v>
      </c>
      <c r="B41" t="str">
        <v>CritPt</v>
      </c>
      <c r="C41" t="str">
        <v>Cognitive Reasoning &amp; Task Execution</v>
      </c>
      <c r="D41" t="str">
        <v>Research-level physics reasoning; scientific coding</v>
      </c>
      <c r="E41" t="str">
        <v>Composite research challenges at the physics frontier</v>
      </c>
      <c r="F41" t="str">
        <v>Artificial Analysis evaluation + official CritPt site</v>
      </c>
      <c r="G41" t="str">
        <v>CritPt / Artificial Analysis</v>
      </c>
      <c r="H41" t="str">
        <v>A</v>
      </c>
      <c r="I41" t="str">
        <v>Green</v>
      </c>
      <c r="J41" t="str">
        <v>Yes</v>
      </c>
      <c r="K41" t="str">
        <v>AA eval API / scrape</v>
      </c>
      <c r="L41" t="str">
        <v>Periodic</v>
      </c>
      <c r="M41" t="str">
        <v>High-value expert reasoning benchmark beyond standard QA</v>
      </c>
      <c r="N41" t="str">
        <v>Physics-specific and still young</v>
      </c>
      <c r="O41" t="str">
        <v>https://artificialanalysis.ai/evaluations/critpt</v>
      </c>
      <c r="P41" t="str">
        <v>https://critpt.com/</v>
      </c>
    </row>
    <row r="42">
      <c r="A42" t="str">
        <v>OPENNESS_INDEX_AA</v>
      </c>
      <c r="B42" t="str">
        <v>Artificial Analysis Openness Index</v>
      </c>
      <c r="C42" t="str">
        <v>Safety &amp; Controllability</v>
      </c>
      <c r="D42" t="str">
        <v>Transparency / openness (system-level, not core capability)</v>
      </c>
      <c r="E42" t="str">
        <v>Composite openness and transparency characteristics</v>
      </c>
      <c r="F42" t="str">
        <v>Artificial Analysis leaderboard</v>
      </c>
      <c r="G42" t="str">
        <v>Artificial Analysis</v>
      </c>
      <c r="H42" t="str">
        <v>A</v>
      </c>
      <c r="I42" t="str">
        <v>Green</v>
      </c>
      <c r="J42" t="str">
        <v>Yes</v>
      </c>
      <c r="K42" t="str">
        <v>Scrape</v>
      </c>
      <c r="L42" t="str">
        <v>Periodic</v>
      </c>
      <c r="M42" t="str">
        <v>Useful auxiliary system-level signal</v>
      </c>
      <c r="N42" t="str">
        <v>Not a capability dimension and should not be mixed into AGI score directly</v>
      </c>
      <c r="O42" t="str">
        <v>https://artificialanalysis.ai/leaderboards/openness</v>
      </c>
      <c r="P42" t="str">
        <v>https://artificialanalysis.ai/</v>
      </c>
    </row>
    <row r="43">
      <c r="A43" t="str">
        <v>MATH_500</v>
      </c>
      <c r="B43" t="str">
        <v>MATH-500</v>
      </c>
      <c r="C43" t="str">
        <v>Cognitive Reasoning &amp; Task Execution</v>
      </c>
      <c r="D43" t="str">
        <v>Quantitative reasoning; mathematical problem solving</v>
      </c>
      <c r="E43" t="str">
        <v>500 competition-level mathematics problems across algebra, geometry, number theory and more</v>
      </c>
      <c r="F43" t="str">
        <v>Artificial Analysis evaluation / benchmark pages</v>
      </c>
      <c r="G43" t="str">
        <v>Artificial Analysis / MATH benchmark ecosystem</v>
      </c>
      <c r="H43" t="str">
        <v>A</v>
      </c>
      <c r="I43" t="str">
        <v>Green</v>
      </c>
      <c r="J43" t="str">
        <v>Yes</v>
      </c>
      <c r="K43" t="str">
        <v>AA scrape</v>
      </c>
      <c r="L43" t="str">
        <v>Periodic</v>
      </c>
      <c r="M43" t="str">
        <v>Useful support benchmark for quantitative reasoning</v>
      </c>
      <c r="N43" t="str">
        <v>Still math-only and easier than AIME/HLE frontier reasoning mixes</v>
      </c>
      <c r="O43" t="str">
        <v>https://artificialanalysis.ai/evaluations/math-500</v>
      </c>
      <c r="P43" t="str">
        <v>https://benchlm.ai/math</v>
      </c>
    </row>
  </sheetData>
  <hyperlinks>
    <hyperlink ref="O2" r:id="rId1"/>
    <hyperlink ref="O3" r:id="rId2"/>
  </hyperlinks>
  <pageMargins left="0.7" right="0.7" top="0.75" bottom="0.75" header="0.3" footer="0.3"/>
  <ignoredErrors>
    <ignoredError numberStoredAsText="1" sqref="A1:P43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I18"/>
  <sheetViews>
    <sheetView workbookViewId="0" rightToLeft="0"/>
  </sheetViews>
  <sheetData>
    <row r="1">
      <c r="A1" t="str">
        <v>Priority</v>
      </c>
      <c r="B1" t="str">
        <v>Benchmark</v>
      </c>
      <c r="C1" t="str">
        <v>Dimension anchor</v>
      </c>
      <c r="D1" t="str">
        <v>Primary capabilities</v>
      </c>
      <c r="E1" t="str">
        <v>Why it belongs in v1</v>
      </c>
      <c r="F1" t="str">
        <v>Ingest path</v>
      </c>
      <c r="G1" t="str">
        <v>Normalization hint</v>
      </c>
      <c r="H1" t="str">
        <v>Status</v>
      </c>
      <c r="I1" t="str">
        <v>Source URL</v>
      </c>
    </row>
    <row r="2">
      <c r="A2">
        <v>2</v>
      </c>
      <c r="B2" t="str">
        <v>GDPval-AA</v>
      </c>
      <c r="C2" t="str">
        <v>Cognitive Reasoning &amp; Task Execution</v>
      </c>
      <c r="D2" t="str">
        <v>Real-world task execution</v>
      </c>
      <c r="E2" t="str">
        <v>Best public anchor for economically valuable work tasks</v>
      </c>
      <c r="F2" t="str">
        <v>AA scrape / possible API field</v>
      </c>
      <c r="G2" t="str">
        <v>Normalize scaled ELO to [0,1]</v>
      </c>
      <c r="H2" t="str">
        <v>Green</v>
      </c>
      <c r="I2" t="str">
        <v>https://artificialanalysis.ai/evaluations/gdpval-aa</v>
      </c>
    </row>
    <row r="3">
      <c r="A3">
        <v>3</v>
      </c>
      <c r="B3" t="str">
        <v>GAIA</v>
      </c>
      <c r="C3" t="str">
        <v>Cognitive Reasoning &amp; Task Execution</v>
      </c>
      <c r="D3" t="str">
        <v>Problem understanding; general tool use</v>
      </c>
      <c r="E3" t="str">
        <v>Broad tool-using assistant benchmark with official public leaderboard</v>
      </c>
      <c r="F3" t="str">
        <v>HF scrape</v>
      </c>
      <c r="G3" t="str">
        <v>Use pass rate</v>
      </c>
      <c r="H3" t="str">
        <v>Green</v>
      </c>
      <c r="I3" t="str">
        <v>https://huggingface.co/spaces/gaia-benchmark/leaderboard</v>
      </c>
    </row>
    <row r="4">
      <c r="A4">
        <v>4</v>
      </c>
      <c r="B4" t="str">
        <v>BFCL V4</v>
      </c>
      <c r="C4" t="str">
        <v>Cognitive Reasoning &amp; Task Execution</v>
      </c>
      <c r="D4" t="str">
        <v>Tool-use reliability</v>
      </c>
      <c r="E4" t="str">
        <v>Direct signal for function/tool calling accuracy</v>
      </c>
      <c r="F4" t="str">
        <v>Official leaderboard scrape</v>
      </c>
      <c r="G4" t="str">
        <v>Use overall accuracy</v>
      </c>
      <c r="H4" t="str">
        <v>Green</v>
      </c>
      <c r="I4" t="str">
        <v>https://gorilla.cs.berkeley.edu/leaderboard.html</v>
      </c>
    </row>
    <row r="5">
      <c r="A5">
        <v>5</v>
      </c>
      <c r="B5" t="str">
        <v>LiveCodeBench</v>
      </c>
      <c r="C5" t="str">
        <v>Cognitive Reasoning &amp; Task Execution</v>
      </c>
      <c r="D5" t="str">
        <v>Code task execution</v>
      </c>
      <c r="E5" t="str">
        <v>Fresh coding benchmark with public leaderboard</v>
      </c>
      <c r="F5" t="str">
        <v>AA API/scrape or official scrape</v>
      </c>
      <c r="G5" t="str">
        <v>Use pass@1 / self-repair variants separately</v>
      </c>
      <c r="H5" t="str">
        <v>Green</v>
      </c>
      <c r="I5" t="str">
        <v>https://livecodebench.github.io/leaderboard</v>
      </c>
    </row>
    <row r="6">
      <c r="A6">
        <v>6</v>
      </c>
      <c r="B6" t="str">
        <v>SWE-bench Verified</v>
      </c>
      <c r="C6" t="str">
        <v>Cognitive Reasoning &amp; Task Execution</v>
      </c>
      <c r="D6" t="str">
        <v>Repo-level software engineering</v>
      </c>
      <c r="E6" t="str">
        <v>High-value applied coding benchmark</v>
      </c>
      <c r="F6" t="str">
        <v>Official scrape</v>
      </c>
      <c r="G6" t="str">
        <v>Use resolved %</v>
      </c>
      <c r="H6" t="str">
        <v>Green</v>
      </c>
      <c r="I6" t="str">
        <v>https://www.swebench.com/</v>
      </c>
    </row>
    <row r="7">
      <c r="A7">
        <v>7</v>
      </c>
      <c r="B7" t="str">
        <v>HLE</v>
      </c>
      <c r="C7" t="str">
        <v>Cognitive Reasoning &amp; Task Execution</v>
      </c>
      <c r="D7" t="str">
        <v>Broad frontier reasoning</v>
      </c>
      <c r="E7" t="str">
        <v>Strong frontier academic reasoning anchor</v>
      </c>
      <c r="F7" t="str">
        <v>AA scrape</v>
      </c>
      <c r="G7" t="str">
        <v>Use accuracy</v>
      </c>
      <c r="H7" t="str">
        <v>Green</v>
      </c>
      <c r="I7" t="str">
        <v>https://artificialanalysis.ai/evaluations/humanitys-last-exam</v>
      </c>
    </row>
    <row r="8">
      <c r="A8">
        <v>8</v>
      </c>
      <c r="B8" t="str">
        <v>GPQA Diamond</v>
      </c>
      <c r="C8" t="str">
        <v>Cognitive Reasoning &amp; Task Execution</v>
      </c>
      <c r="D8" t="str">
        <v>Scientific reasoning</v>
      </c>
      <c r="E8" t="str">
        <v>High-value science reasoning anchor</v>
      </c>
      <c r="F8" t="str">
        <v>AA API/scrape</v>
      </c>
      <c r="G8" t="str">
        <v>Use accuracy</v>
      </c>
      <c r="H8" t="str">
        <v>Green</v>
      </c>
      <c r="I8" t="str">
        <v>https://artificialanalysis.ai/evaluations/gpqa-diamond</v>
      </c>
    </row>
    <row r="9">
      <c r="A9">
        <v>9</v>
      </c>
      <c r="B9" t="str">
        <v>AIME 2025</v>
      </c>
      <c r="C9" t="str">
        <v>Cognitive Reasoning &amp; Task Execution</v>
      </c>
      <c r="D9" t="str">
        <v>Quantitative reasoning</v>
      </c>
      <c r="E9" t="str">
        <v>Math anchor with clear objective scoring</v>
      </c>
      <c r="F9" t="str">
        <v>AA API/scrape</v>
      </c>
      <c r="G9" t="str">
        <v>Use accuracy</v>
      </c>
      <c r="H9" t="str">
        <v>Green</v>
      </c>
      <c r="I9" t="str">
        <v>https://artificialanalysis.ai/evaluations/aime-2025</v>
      </c>
    </row>
    <row r="10">
      <c r="A10">
        <v>10</v>
      </c>
      <c r="B10" t="str">
        <v>AA-LCR</v>
      </c>
      <c r="C10" t="str">
        <v>Learning &amp; Generalization</v>
      </c>
      <c r="D10" t="str">
        <v>Long context / memory generalization</v>
      </c>
      <c r="E10" t="str">
        <v>Direct benchmark for long-context utilization</v>
      </c>
      <c r="F10" t="str">
        <v>AA scrape</v>
      </c>
      <c r="G10" t="str">
        <v>Use pass@1 / accuracy</v>
      </c>
      <c r="H10" t="str">
        <v>Green</v>
      </c>
      <c r="I10" t="str">
        <v>https://artificialanalysis.ai/evaluations/artificial-analysis-long-context-reasoning</v>
      </c>
    </row>
    <row r="11">
      <c r="A11">
        <v>11</v>
      </c>
      <c r="B11" t="str">
        <v>ARC-AGI-2</v>
      </c>
      <c r="C11" t="str">
        <v>Learning &amp; Generalization</v>
      </c>
      <c r="D11" t="str">
        <v>OOD / novel problem solving</v>
      </c>
      <c r="E11" t="str">
        <v>Important adaptability benchmark</v>
      </c>
      <c r="F11" t="str">
        <v>Official scrape</v>
      </c>
      <c r="G11" t="str">
        <v>Use score %</v>
      </c>
      <c r="H11" t="str">
        <v>Green</v>
      </c>
      <c r="I11" t="str">
        <v>https://arcprize.org/leaderboard</v>
      </c>
    </row>
    <row r="12">
      <c r="A12">
        <v>12</v>
      </c>
      <c r="B12" t="str">
        <v>AA-Omniscience</v>
      </c>
      <c r="C12" t="str">
        <v>Epistemic Reliability &amp; Truthfulness</v>
      </c>
      <c r="D12" t="str">
        <v>Factual accuracy; hallucination resistance</v>
      </c>
      <c r="E12" t="str">
        <v>Best factual reliability anchor in this workbook</v>
      </c>
      <c r="F12" t="str">
        <v>AA scrape</v>
      </c>
      <c r="G12" t="str">
        <v>Track both accuracy and non-hallucination rate</v>
      </c>
      <c r="H12" t="str">
        <v>Green</v>
      </c>
      <c r="I12" t="str">
        <v>https://artificialanalysis.ai/evaluations/omniscience</v>
      </c>
    </row>
    <row r="13">
      <c r="A13">
        <v>13</v>
      </c>
      <c r="B13" t="str">
        <v>Vectara Hallucination Leaderboard</v>
      </c>
      <c r="C13" t="str">
        <v>Epistemic Reliability &amp; Truthfulness</v>
      </c>
      <c r="D13" t="str">
        <v>Hallucination resistance</v>
      </c>
      <c r="E13" t="str">
        <v>Independent public hallucination source</v>
      </c>
      <c r="F13" t="str">
        <v>GitHub/HF scrape</v>
      </c>
      <c r="G13" t="str">
        <v>Use hallucination rate (invert)</v>
      </c>
      <c r="H13" t="str">
        <v>Green</v>
      </c>
      <c r="I13" t="str">
        <v>https://github.com/vectara/hallucination-leaderboard/</v>
      </c>
    </row>
    <row r="14">
      <c r="A14">
        <v>14</v>
      </c>
      <c r="B14" t="str">
        <v>IFBench</v>
      </c>
      <c r="C14" t="str">
        <v>Safety &amp; Controllability</v>
      </c>
      <c r="D14" t="str">
        <v>Steerability / constraint adherence</v>
      </c>
      <c r="E14" t="str">
        <v>Best current public signal for controllability</v>
      </c>
      <c r="F14" t="str">
        <v>AA scrape</v>
      </c>
      <c r="G14" t="str">
        <v>Use pass@1 / accuracy</v>
      </c>
      <c r="H14" t="str">
        <v>Green</v>
      </c>
      <c r="I14" t="str">
        <v>https://artificialanalysis.ai/evaluations/ifbench</v>
      </c>
    </row>
    <row r="15">
      <c r="A15">
        <v>15</v>
      </c>
      <c r="B15" t="str">
        <v>EQ-Bench 3</v>
      </c>
      <c r="C15" t="str">
        <v>Social Interaction Competence</v>
      </c>
      <c r="D15" t="str">
        <v>Emotion &amp; affect handling</v>
      </c>
      <c r="E15" t="str">
        <v>Rare maintained public social leaderboard</v>
      </c>
      <c r="F15" t="str">
        <v>Official scrape</v>
      </c>
      <c r="G15" t="str">
        <v>Normalize Elo</v>
      </c>
      <c r="H15" t="str">
        <v>Green</v>
      </c>
      <c r="I15" t="str">
        <v>https://eqbench.com/</v>
      </c>
    </row>
    <row r="16">
      <c r="A16">
        <v>16</v>
      </c>
      <c r="B16" t="str">
        <v>τ²-Bench Telecom</v>
      </c>
      <c r="C16" t="str">
        <v>Social Interaction Competence</v>
      </c>
      <c r="D16" t="str">
        <v>Interaction quality / coordination</v>
      </c>
      <c r="E16" t="str">
        <v>Multi-turn coordination benchmark with public leaderboard</v>
      </c>
      <c r="F16" t="str">
        <v>AA scrape</v>
      </c>
      <c r="G16" t="str">
        <v>Use pass@1 / success rate</v>
      </c>
      <c r="H16" t="str">
        <v>Green</v>
      </c>
      <c r="I16" t="str">
        <v>https://artificialanalysis.ai/evaluations/tau2-bench</v>
      </c>
    </row>
    <row r="17">
      <c r="A17">
        <v>17</v>
      </c>
      <c r="B17" t="str">
        <v>MMMU-Pro</v>
      </c>
      <c r="C17" t="str">
        <v>Multimodal Understanding</v>
      </c>
      <c r="D17" t="str">
        <v>Multimodal reasoning</v>
      </c>
      <c r="E17" t="str">
        <v>Best current multimodal reasoning anchor</v>
      </c>
      <c r="F17" t="str">
        <v>AA scrape</v>
      </c>
      <c r="G17" t="str">
        <v>Use accuracy</v>
      </c>
      <c r="H17" t="str">
        <v>Green</v>
      </c>
      <c r="I17" t="str">
        <v>https://artificialanalysis.ai/evaluations/mmmu-pro</v>
      </c>
    </row>
    <row r="18">
      <c r="A18">
        <v>18</v>
      </c>
      <c r="B18" t="str">
        <v>Artificial Analysis Text-to-Image</v>
      </c>
      <c r="C18" t="str">
        <v>Multimodal Understanding</v>
      </c>
      <c r="D18" t="str">
        <v>Multimodal generation</v>
      </c>
      <c r="E18" t="str">
        <v>Direct structured image-generation source via API</v>
      </c>
      <c r="F18" t="str">
        <v>AA API</v>
      </c>
      <c r="G18" t="str">
        <v>Normalize ELO</v>
      </c>
      <c r="H18" t="str">
        <v>Green</v>
      </c>
      <c r="I18" t="str">
        <v>https://artificialanalysis.ai/image/leaderboard/text-to-image</v>
      </c>
    </row>
  </sheetData>
  <pageMargins left="0.7" right="0.7" top="0.75" bottom="0.75" header="0.3" footer="0.3"/>
  <ignoredErrors>
    <ignoredError numberStoredAsText="1" sqref="A1:I18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G22"/>
  <sheetViews>
    <sheetView workbookViewId="0" rightToLeft="0"/>
  </sheetViews>
  <sheetData>
    <row r="1">
      <c r="A1" t="str">
        <v>AGI tracker capability map - visual standard</v>
      </c>
    </row>
    <row r="2">
      <c r="A2" t="str">
        <v>Each coloured box is one capability. Fill colour shows the best current public benchmark coverage status. Text after the dash shows the recommended primary benchmark anchor.</v>
      </c>
    </row>
    <row r="3">
      <c r="A3" t="str">
        <v>Cognitive Reasoning &amp; Task Execution</v>
      </c>
      <c r="B3" t="str">
        <v>Learning &amp; Generalization</v>
      </c>
      <c r="C3" t="str">
        <v>Epistemic Reliability &amp; Truthfulness</v>
      </c>
      <c r="D3" t="str">
        <v>Metacognition / Ethical Discernment</v>
      </c>
      <c r="E3" t="str">
        <v>Social Interaction Competence</v>
      </c>
      <c r="F3" t="str">
        <v>Multimodal Understanding</v>
      </c>
      <c r="G3" t="str">
        <v>Safety &amp; Controllability</v>
      </c>
    </row>
    <row r="4" xml:space="preserve">
      <c r="A4" t="str" xml:space="preserve">
        <v xml:space="preserve">Problem understanding_x000d_
- GAIA</v>
      </c>
      <c r="B4" t="str" xml:space="preserve">
        <v xml:space="preserve">In-context learning / adaptation_x000d_
- Open LLM Leaderboard v2</v>
      </c>
      <c r="C4" t="str" xml:space="preserve">
        <v xml:space="preserve">Factual accuracy_x000d_
- AA-Omniscience</v>
      </c>
      <c r="D4" t="str" xml:space="preserve">
        <v xml:space="preserve">Uncertainty estimation / calibration_x000d_
- Gap / internal eval needed</v>
      </c>
      <c r="E4" t="str" xml:space="preserve">
        <v xml:space="preserve">User modeling_x000d_
- SocialIQA</v>
      </c>
      <c r="F4" t="str" xml:space="preserve">
        <v xml:space="preserve">Cross-modal grounding / coherence_x000d_
- MMBench</v>
      </c>
      <c r="G4" t="str" xml:space="preserve">
        <v xml:space="preserve">Steerability &amp; constraint adherence_x000d_
- IFBench</v>
      </c>
    </row>
    <row r="5" xml:space="preserve">
      <c r="A5" t="str" xml:space="preserve">
        <v xml:space="preserve">Task decomposition_x000d_
- GAIA</v>
      </c>
      <c r="B5" t="str" xml:space="preserve">
        <v xml:space="preserve">Few-shot generalization_x000d_
- Open LLM Leaderboard v2</v>
      </c>
      <c r="C5" t="str" xml:space="preserve">
        <v xml:space="preserve">Short-form factual recall_x000d_
- SimpleQA</v>
      </c>
      <c r="D5" t="str" xml:space="preserve">
        <v xml:space="preserve">Abstention_x000d_
- AbstentionBench</v>
      </c>
      <c r="E5" t="str" xml:space="preserve">
        <v xml:space="preserve">Perspective taking_x000d_
- FANToM</v>
      </c>
      <c r="F5" t="str" xml:space="preserve">
        <v xml:space="preserve">Multimodal reasoning_x000d_
- MMMU-Pro</v>
      </c>
      <c r="G5" t="str" xml:space="preserve">
        <v xml:space="preserve">Instruction following generalization_x000d_
- IFBench</v>
      </c>
    </row>
    <row r="6" xml:space="preserve">
      <c r="A6" t="str" xml:space="preserve">
        <v xml:space="preserve">Multi-step reasoning under constraints_x000d_
- Humanity's Last Exam</v>
      </c>
      <c r="B6" t="str" xml:space="preserve">
        <v xml:space="preserve">Transfer generalization (cross-domain/task/language)_x000d_
- MMLU-Pro</v>
      </c>
      <c r="C6" t="str" xml:space="preserve">
        <v xml:space="preserve">Citation / evidence correctness_x000d_
- ALCE</v>
      </c>
      <c r="D6" t="str" xml:space="preserve">
        <v xml:space="preserve">Self-evaluation_x000d_
- Gap / internal eval needed</v>
      </c>
      <c r="E6" t="str" xml:space="preserve">
        <v xml:space="preserve">Theory of mind_x000d_
- FANToM</v>
      </c>
      <c r="F6" t="str" xml:space="preserve">
        <v xml:space="preserve">Multimodal information extraction_x000d_
- MMBench</v>
      </c>
      <c r="G6" t="str" xml:space="preserve">
        <v xml:space="preserve">Harmfulness prevention_x000d_
- HarmBench</v>
      </c>
    </row>
    <row r="7" xml:space="preserve">
      <c r="A7" t="str" xml:space="preserve">
        <v xml:space="preserve">Quantitative reasoning_x000d_
- AIME 2025</v>
      </c>
      <c r="B7" t="str" xml:space="preserve">
        <v xml:space="preserve">OOD generalization_x000d_
- ARC-AGI-2 / ARC Prize</v>
      </c>
      <c r="C7" t="str" xml:space="preserve">
        <v xml:space="preserve">Source-grounded answering_x000d_
- CRAG / RAG-style factual QA</v>
      </c>
      <c r="D7" t="str" xml:space="preserve">
        <v xml:space="preserve">Error detection_x000d_
- Gap / internal eval needed</v>
      </c>
      <c r="E7" t="str" xml:space="preserve">
        <v xml:space="preserve">Interaction quality_x000d_
- τ²-Bench Telecom</v>
      </c>
      <c r="F7" t="str" xml:space="preserve">
        <v xml:space="preserve">Spatial reasoning_x000d_
- MMMU-Pro</v>
      </c>
      <c r="G7" t="str" xml:space="preserve">
        <v xml:space="preserve">Refusal quality_x000d_
- HarmBench</v>
      </c>
    </row>
    <row r="8" xml:space="preserve">
      <c r="A8" t="str" xml:space="preserve">
        <v xml:space="preserve">Scientific reasoning_x000d_
- GPQA Diamond</v>
      </c>
      <c r="B8" t="str" xml:space="preserve">
        <v xml:space="preserve">Novel problem solving_x000d_
- ARC-AGI-2 / ARC Prize</v>
      </c>
      <c r="C8" t="str" xml:space="preserve">
        <v xml:space="preserve">Hallucination resistance_x000d_
- AA-Omniscience</v>
      </c>
      <c r="D8" t="str" xml:space="preserve">
        <v xml:space="preserve">Self-correction_x000d_
- CorrectBench</v>
      </c>
      <c r="E8" t="str" xml:space="preserve">
        <v xml:space="preserve">Coordination competence_x000d_
- τ²-Bench Telecom</v>
      </c>
      <c r="F8" t="str" xml:space="preserve">
        <v xml:space="preserve">Chart / diagram reasoning_x000d_
- Visual Maths Benchmark</v>
      </c>
      <c r="G8" t="str" xml:space="preserve">
        <v xml:space="preserve">Jailbreak resistance_x000d_
- JailbreakBench</v>
      </c>
    </row>
    <row r="9" xml:space="preserve">
      <c r="A9" t="str" xml:space="preserve">
        <v xml:space="preserve">Planning quality &amp; adaptability_x000d_
- ARC-AGI-2 / ARC Prize</v>
      </c>
      <c r="B9" t="str" xml:space="preserve">
        <v xml:space="preserve">Compositional generalization_x000d_
- ARC-AGI-2 / ARC Prize</v>
      </c>
      <c r="C9" t="str" xml:space="preserve">
        <v xml:space="preserve">Knowledge consistency_x000d_
- Gap / internal eval needed</v>
      </c>
      <c r="D9" t="str" xml:space="preserve">
        <v xml:space="preserve">Reflection quality_x000d_
- Gap / internal eval needed</v>
      </c>
      <c r="E9" t="str" xml:space="preserve">
        <v xml:space="preserve">Emotion &amp; affect handling_x000d_
- EQ-Bench 3</v>
      </c>
      <c r="F9" t="str" xml:space="preserve">
        <v xml:space="preserve">OCR / document understanding_x000d_
- MMBench</v>
      </c>
      <c r="G9" t="str" xml:space="preserve">
        <v xml:space="preserve">Prompt injection robustness_x000d_
- Gray Swan Indirect Prompt Injection Arena</v>
      </c>
    </row>
    <row r="10" xml:space="preserve">
      <c r="A10" t="str" xml:space="preserve">
        <v xml:space="preserve">Execution control_x000d_
- GDPval-AA</v>
      </c>
      <c r="B10" t="str" xml:space="preserve">
        <v xml:space="preserve">Long-context utilization_x000d_
- Artificial Analysis Long Context Reasoning (AA-LCR)</v>
      </c>
      <c r="C10" t="str" xml:space="preserve">
        <v xml:space="preserve">Robustness against misinformation_x000d_
- Gap / internal eval needed</v>
      </c>
      <c r="D10" t="str" xml:space="preserve">
        <v xml:space="preserve">Monitoring own tool use_x000d_
- Gap / internal eval needed</v>
      </c>
      <c r="E10" t="str" xml:space="preserve">
        <v xml:space="preserve">Empathy / supportive communication_x000d_
- EQ-Bench 3</v>
      </c>
      <c r="F10" t="str" xml:space="preserve">
        <v xml:space="preserve">Visual quantitative reasoning_x000d_
- Visual Maths Benchmark</v>
      </c>
      <c r="G10" t="str" xml:space="preserve">
        <v xml:space="preserve">Privacy &amp; data handling_x000d_
- Gap / internal eval needed</v>
      </c>
    </row>
    <row r="11" xml:space="preserve">
      <c r="A11" t="str" xml:space="preserve">
        <v xml:space="preserve">Tool-use reliability_x000d_
- Berkeley Function Calling Leaderboard (BFCL) V4</v>
      </c>
      <c r="B11" t="str" xml:space="preserve">
        <v xml:space="preserve">Memory generalization_x000d_
- Artificial Analysis Long Context Reasoning (AA-LCR)</v>
      </c>
      <c r="C11" t="str" xml:space="preserve">
        <v xml:space="preserve">Factual honesty_x000d_
- TruthfulQA</v>
      </c>
      <c r="D11" t="str" xml:space="preserve">
        <v xml:space="preserve">Ethical conflict recognition_x000d_
- Gap / internal eval needed</v>
      </c>
      <c r="E11" t="str" xml:space="preserve">
        <v xml:space="preserve">De-escalation / conflict handling_x000d_
- EQ-Bench 3</v>
      </c>
      <c r="F11" t="str" xml:space="preserve">
        <v xml:space="preserve">Multimodal generation_x000d_
- Artificial Analysis Text-to-Image Leaderboard</v>
      </c>
      <c r="G11" t="str" xml:space="preserve">
        <v xml:space="preserve">Sensitive information protection_x000d_
- Gap / internal eval needed</v>
      </c>
    </row>
    <row r="12" xml:space="preserve">
      <c r="A12" t="str" xml:space="preserve">
        <v xml:space="preserve">Code task execution_x000d_
- LiveCodeBench</v>
      </c>
      <c r="B12" t="str" xml:space="preserve">
        <v xml:space="preserve">Robustness to distribution shift_x000d_
- Gap / internal eval needed</v>
      </c>
      <c r="C12" t="str" xml:space="preserve">
        <v xml:space="preserve">Temporal factuality_x000d_
- Gap / internal eval needed</v>
      </c>
      <c r="D12" t="str" xml:space="preserve">
        <v xml:space="preserve">Instruction hierarchy / rule priority reasoning_x000d_
- IFBench</v>
      </c>
      <c r="E12" t="str" xml:space="preserve">
        <v xml:space="preserve">Fairness / appropriateness_x000d_
- Gap / internal eval needed</v>
      </c>
      <c r="F12" t="str" xml:space="preserve">
        <v xml:space="preserve">Video understanding_x000d_
- Gap / internal eval needed</v>
      </c>
      <c r="G12" t="str" xml:space="preserve">
        <v xml:space="preserve">Misuse resistance_x000d_
- AgentHarm</v>
      </c>
    </row>
    <row r="13" xml:space="preserve">
      <c r="A13" t="str" xml:space="preserve">
        <v xml:space="preserve">Software engineering end-to-end_x000d_
- SWE-bench Verified</v>
      </c>
      <c r="B13" t="str" xml:space="preserve">
        <v xml:space="preserve">Multilingual generalization_x000d_
- Global-MMLU-Lite</v>
      </c>
      <c r="C13" t="str" xml:space="preserve">
        <v xml:space="preserve">Domain factuality_x000d_
- GPQA Diamond</v>
      </c>
      <c r="D13" t="str" xml:space="preserve">
        <v xml:space="preserve">Honesty about limits_x000d_
- AA-Omniscience</v>
      </c>
      <c r="F13" t="str" xml:space="preserve">
        <v xml:space="preserve">Audio understanding_x000d_
- Gap / internal eval needed</v>
      </c>
      <c r="G13" t="str" xml:space="preserve">
        <v xml:space="preserve">Tool safety / action gating_x000d_
- Gap / internal eval needed</v>
      </c>
    </row>
    <row r="14" xml:space="preserve">
      <c r="A14" t="str" xml:space="preserve">
        <v xml:space="preserve">Real-world task execution_x000d_
- GDPval-AA</v>
      </c>
      <c r="B14" t="str" xml:space="preserve">
        <v xml:space="preserve">Continual freshness / temporal adaptation_x000d_
- Gap / internal eval needed</v>
      </c>
      <c r="C14" t="str" xml:space="preserve">
        <v xml:space="preserve">Grounded summarization faithfulness_x000d_
- Vectara Hallucination Leaderboard (HHEM)</v>
      </c>
      <c r="G14" t="str" xml:space="preserve">
        <v xml:space="preserve">Policy consistency across turns_x000d_
- Gap / internal eval needed</v>
      </c>
    </row>
    <row r="15" xml:space="preserve">
      <c r="A15" t="str" xml:space="preserve">
        <v xml:space="preserve">Web browsing &amp; research_x000d_
- BrowseComp</v>
      </c>
      <c r="B15" t="str" xml:space="preserve">
        <v xml:space="preserve">Sample efficiency_x000d_
- Gap / internal eval needed</v>
      </c>
      <c r="G15" t="str" xml:space="preserve">
        <v xml:space="preserve">Transparency / openness (auxiliary)_x000d_
- Artificial Analysis Openness Index</v>
      </c>
    </row>
    <row r="16" xml:space="preserve">
      <c r="A16" t="str" xml:space="preserve">
        <v xml:space="preserve">Terminal workflow execution_x000d_
- Terminal-Bench Hard</v>
      </c>
    </row>
    <row r="19">
      <c r="A19" t="str">
        <v>Legend</v>
      </c>
      <c r="B19" t="str">
        <v>Green = ingestable now</v>
      </c>
      <c r="C19" t="str">
        <v>Yellow = partial/caveated</v>
      </c>
      <c r="D19" t="str">
        <v>Red = benchmark gap</v>
      </c>
    </row>
  </sheetData>
  <mergeCells count="2">
    <mergeCell ref="A1:G1"/>
    <mergeCell ref="A2:G2"/>
  </mergeCells>
  <pageMargins left="0.7" right="0.7" top="0.75" bottom="0.75" header="0.3" footer="0.3"/>
  <ignoredErrors>
    <ignoredError numberStoredAsText="1" sqref="A1:G22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P1"/>
  <sheetViews>
    <sheetView workbookViewId="0" rightToLeft="0"/>
  </sheetViews>
  <sheetData>
    <row r="1">
      <c r="A1" t="str">
        <v>Evidence ID</v>
      </c>
      <c r="B1" t="str">
        <v>Capability ID</v>
      </c>
      <c r="C1" t="str">
        <v>Evidence Title</v>
      </c>
      <c r="D1" t="str">
        <v>Source Type</v>
      </c>
      <c r="E1" t="str">
        <v>Source Name</v>
      </c>
      <c r="F1" t="str">
        <v>URL</v>
      </c>
      <c r="G1" t="str">
        <v>Published Date</v>
      </c>
      <c r="H1" t="str">
        <v>Short Explanation</v>
      </c>
      <c r="I1" t="str">
        <v>Benchmark ID</v>
      </c>
      <c r="J1" t="str">
        <v>Benchmark Name</v>
      </c>
      <c r="K1" t="str">
        <v>Metric Name</v>
      </c>
      <c r="L1" t="str">
        <v>Metric Value</v>
      </c>
      <c r="M1" t="str">
        <v>Metric Unit</v>
      </c>
      <c r="N1" t="str">
        <v>Model</v>
      </c>
      <c r="O1" t="str">
        <v>Notes</v>
      </c>
      <c r="P1" t="str">
        <v>Active?</v>
      </c>
    </row>
  </sheetData>
  <ignoredErrors>
    <ignoredError numberStoredAsText="1" sqref="A1:P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 &amp; Legend</vt:lpstr>
      <vt:lpstr>Capability Matrix</vt:lpstr>
      <vt:lpstr>Capability Tracker</vt:lpstr>
      <vt:lpstr>Benchmark Registry</vt:lpstr>
      <vt:lpstr>(Ingestion Priority)</vt:lpstr>
      <vt:lpstr>Capability Matrix (extended)</vt:lpstr>
      <vt:lpstr>Evidence Entries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2026-03-26T16:42:40Z</dcterms:created>
  <dcterms:modified xsi:type="dcterms:W3CDTF">2026-03-27T14:46:33Z</dcterms:modified>
  <cp:lastModifiedBy>Constantin Yogeshwar</cp:lastModifiedB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0x01010026C06E1CE327BF48AD9056EE7A1AFD71</vt:lpwstr>
  </property>
  <property fmtid="{D5CDD505-2E9C-101B-9397-08002B2CF9AE}" pid="3" name="MediaServiceImageTags">
    <vt:lpwstr/>
  </property>
</Properties>
</file>